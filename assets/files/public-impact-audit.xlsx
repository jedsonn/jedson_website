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e104ef906af4832" /></Relationships>
</file>

<file path=xl/workbook.xml><?xml version="1.0" encoding="utf-8"?>
<x:workbook xmlns:x="http://schemas.openxmlformats.org/spreadsheetml/2006/main">
  <x:sheets>
    <x:sheet xmlns:r="http://schemas.openxmlformats.org/officeDocument/2006/relationships" name="Dashboard" sheetId="1" r:id="R64681c6e1f794c01"/>
    <x:sheet xmlns:r="http://schemas.openxmlformats.org/officeDocument/2006/relationships" name="Verified Coverage" sheetId="2" r:id="Re76a6e7aa3634fea"/>
    <x:sheet xmlns:r="http://schemas.openxmlformats.org/officeDocument/2006/relationships" name="Paper Audit" sheetId="3" r:id="Rfb4c86f9535443e9"/>
    <x:sheet xmlns:r="http://schemas.openxmlformats.org/officeDocument/2006/relationships" name="Dissemination" sheetId="4" r:id="Rf0ccc15962be4871"/>
    <x:sheet xmlns:r="http://schemas.openxmlformats.org/officeDocument/2006/relationships" name="Leads &amp; Exclusions" sheetId="5" r:id="Rae4b781260244363"/>
    <x:sheet xmlns:r="http://schemas.openxmlformats.org/officeDocument/2006/relationships" name="Promotion Narrative" sheetId="6" r:id="R49370295adcf4258"/>
    <x:sheet xmlns:r="http://schemas.openxmlformats.org/officeDocument/2006/relationships" name="Method" sheetId="7" r:id="R2a0da75d0a424d0f"/>
  </x:sheets>
</x:workbook>
</file>

<file path=xl/sharedStrings.xml><?xml version="1.0" encoding="utf-8"?>
<x:sst xmlns:x="http://schemas.openxmlformats.org/spreadsheetml/2006/main"/>
</file>

<file path=xl/styles.xml><?xml version="1.0" encoding="utf-8"?>
<x:styleSheet xmlns:x="http://schemas.openxmlformats.org/spreadsheetml/2006/main">
  <x:fonts count="14">
    <x:font>
      <x:sz val="11"/>
      <x:name val="Carlito"/>
    </x:font>
    <x:font>
      <x:b/>
      <x:sz val="18"/>
      <x:color rgb="FFFFFFFF"/>
      <x:name val="Carlito"/>
    </x:font>
    <x:font>
      <x:i/>
      <x:sz val="10"/>
      <x:color rgb="FF6B7280"/>
      <x:name val="Carlito"/>
    </x:font>
    <x:font>
      <x:b/>
      <x:sz val="10"/>
      <x:color rgb="FFFFFFFF"/>
      <x:name val="Carlito"/>
    </x:font>
    <x:font>
      <x:sz val="9"/>
      <x:color rgb="FF111827"/>
      <x:name val="Carlito"/>
    </x:font>
    <x:font>
      <x:sz val="9"/>
      <x:color rgb="FF1D4ED8"/>
      <x:name val="Carlito"/>
    </x:font>
    <x:font>
      <x:sz val="10"/>
      <x:color rgb="FF111827"/>
      <x:name val="Carlito"/>
    </x:font>
    <x:font>
      <x:b/>
      <x:sz val="22"/>
      <x:color rgb="FF0B1F33"/>
      <x:name val="Carlito"/>
    </x:font>
    <x:font>
      <x:b/>
      <x:sz val="11"/>
      <x:color rgb="FFFFFFFF"/>
      <x:name val="Carlito"/>
    </x:font>
    <x:font>
      <x:sz val="11"/>
      <x:color rgb="FF111827"/>
      <x:name val="Carlito"/>
    </x:font>
    <x:font>
      <x:b/>
      <x:sz val="11"/>
      <x:color rgb="FF0B1F33"/>
      <x:name val="Carlito"/>
    </x:font>
    <x:font>
      <x:b/>
      <x:sz val="10"/>
      <x:color rgb="FF0B1F33"/>
      <x:name val="Carlito"/>
    </x:font>
    <x:font>
      <x:b/>
      <x:sz val="10"/>
      <x:color rgb="FFB45309"/>
      <x:name val="Carlito"/>
    </x:font>
    <x:font>
      <x:sz val="10"/>
      <x:color rgb="FFB91C1C"/>
      <x:name val="Carlito"/>
    </x:font>
  </x:fonts>
  <x:fills count="10">
    <x:fill>
      <x:patternFill patternType="none"/>
    </x:fill>
    <x:fill>
      <x:patternFill patternType="gray125"/>
    </x:fill>
    <x:fill>
      <x:patternFill patternType="solid">
        <x:fgColor rgb="FF0B1F33"/>
      </x:patternFill>
    </x:fill>
    <x:fill>
      <x:patternFill patternType="solid">
        <x:fgColor rgb="FFEFF6FF"/>
      </x:patternFill>
    </x:fill>
    <x:fill>
      <x:patternFill patternType="solid">
        <x:fgColor rgb="FF155E75"/>
      </x:patternFill>
    </x:fill>
    <x:fill>
      <x:patternFill patternType="solid">
        <x:fgColor rgb="FFECFEFF"/>
      </x:patternFill>
    </x:fill>
    <x:fill>
      <x:patternFill patternType="solid">
        <x:fgColor rgb="FFFFF7ED"/>
      </x:patternFill>
    </x:fill>
    <x:fill>
      <x:patternFill patternType="solid">
        <x:fgColor rgb="FFF3F4F6"/>
      </x:patternFill>
    </x:fill>
    <x:fill>
      <x:patternFill patternType="solid">
        <x:fgColor rgb="FFECFDF5"/>
      </x:patternFill>
    </x:fill>
    <x:fill>
      <x:patternFill patternType="solid">
        <x:fgColor rgb="FFFEF2F2"/>
      </x:patternFill>
    </x:fill>
  </x:fills>
  <x:borders count="2">
    <x:border/>
    <x:border/>
  </x:borders>
  <x:cellStyleXfs count="1">
    <x:xf numFmtId="0" fontId="0" fillId="0" borderId="0"/>
  </x:cellStyleXfs>
  <x:cellXfs count="16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0" xfId="0" applyNumberFormat="1" applyFont="1" applyFill="1" applyBorder="1" applyAlignment="1">
      <x:alignment horizontal="center" vertical="top" wrapText="1"/>
    </x:xf>
    <x:xf numFmtId="0" fontId="6" fillId="0" borderId="0" xfId="0" applyNumberFormat="1" applyFont="1" applyFill="1" applyBorder="1" applyAlignment="1">
      <x:alignment horizontal="center" vertical="center" wrapText="1"/>
    </x:xf>
    <x:xf numFmtId="0" fontId="6" fillId="0" borderId="1" xfId="0" applyNumberFormat="1" applyFont="1" applyFill="1" applyBorder="1" applyAlignment="1">
      <x:alignment vertical="top" wrapText="1"/>
    </x:xf>
    <x:xf numFmtId="0" fontId="6" fillId="0" borderId="1" xfId="0" applyNumberFormat="1" applyFont="1" applyFill="1" applyBorder="1" applyAlignment="1">
      <x:alignment horizontal="center" vertical="top" wrapText="1"/>
    </x:xf>
    <x:xf numFmtId="0" fontId="6" fillId="0" borderId="1" xfId="0" applyNumberFormat="1" applyFont="1" applyFill="1" applyBorder="1" applyAlignment="1">
      <x:alignment horizontal="center" vertical="center" wrapText="1"/>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horizontal="center"/>
    </x:xf>
    <x:xf numFmtId="0" fontId="7" fillId="5" borderId="0" xfId="0" applyNumberFormat="1" applyFont="1" applyFill="1" applyBorder="1" applyAlignment="1">
      <x:alignment horizontal="center" vertical="center"/>
    </x:xf>
    <x:xf numFmtId="0" fontId="0" fillId="5" borderId="1" xfId="0" applyNumberFormat="1" applyFont="1" applyFill="1" applyBorder="1"/>
    <x:xf numFmtId="0" fontId="7" fillId="5" borderId="1" xfId="0" applyNumberFormat="1" applyFont="1" applyFill="1" applyBorder="1"/>
    <x:xf numFmtId="0" fontId="7" fillId="5" borderId="1" xfId="0" applyNumberFormat="1" applyFont="1" applyFill="1" applyBorder="1" applyAlignment="1">
      <x:alignment horizontal="center"/>
    </x:xf>
    <x:xf numFmtId="0" fontId="7" fillId="5" borderId="1" xfId="0" applyNumberFormat="1" applyFont="1" applyFill="1" applyBorder="1" applyAlignment="1">
      <x:alignment horizontal="center" vertical="center"/>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horizontal="center"/>
    </x:xf>
    <x:xf numFmtId="0" fontId="7" fillId="6" borderId="0" xfId="0" applyNumberFormat="1" applyFont="1" applyFill="1" applyBorder="1" applyAlignment="1">
      <x:alignment horizontal="center" vertical="center"/>
    </x:xf>
    <x:xf numFmtId="0" fontId="0" fillId="6" borderId="1"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horizontal="center"/>
    </x:xf>
    <x:xf numFmtId="0" fontId="7" fillId="6" borderId="1" xfId="0" applyNumberFormat="1" applyFont="1" applyFill="1" applyBorder="1" applyAlignment="1">
      <x:alignment horizontal="center" vertical="center"/>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horizontal="center"/>
    </x:xf>
    <x:xf numFmtId="0" fontId="7" fillId="7" borderId="0" xfId="0" applyNumberFormat="1" applyFont="1" applyFill="1" applyBorder="1" applyAlignment="1">
      <x:alignment horizontal="center" vertical="center"/>
    </x:xf>
    <x:xf numFmtId="0" fontId="0" fillId="7" borderId="1"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horizontal="center"/>
    </x:xf>
    <x:xf numFmtId="0" fontId="7" fillId="7" borderId="1" xfId="0" applyNumberFormat="1" applyFont="1" applyFill="1" applyBorder="1" applyAlignment="1">
      <x:alignment horizontal="center" vertic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horizontal="center"/>
    </x:xf>
    <x:xf numFmtId="0" fontId="7" fillId="8" borderId="0" xfId="0" applyNumberFormat="1" applyFont="1" applyFill="1" applyBorder="1" applyAlignment="1">
      <x:alignment horizontal="center" vertical="center"/>
    </x:xf>
    <x:xf numFmtId="0" fontId="0" fillId="8" borderId="1" xfId="0" applyNumberFormat="1" applyFont="1" applyFill="1" applyBorder="1"/>
    <x:xf numFmtId="0" fontId="7" fillId="8" borderId="1" xfId="0" applyNumberFormat="1" applyFont="1" applyFill="1" applyBorder="1"/>
    <x:xf numFmtId="0" fontId="7" fillId="8" borderId="1" xfId="0" applyNumberFormat="1" applyFont="1" applyFill="1" applyBorder="1" applyAlignment="1">
      <x:alignment horizontal="center"/>
    </x:xf>
    <x:xf numFmtId="0" fontId="7" fillId="8" borderId="1" xfId="0" applyNumberFormat="1" applyFont="1" applyFill="1" applyBorder="1" applyAlignment="1">
      <x:alignment horizontal="center" vertical="center"/>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horizontal="center"/>
    </x:xf>
    <x:xf numFmtId="0" fontId="7" fillId="9" borderId="0" xfId="0" applyNumberFormat="1" applyFont="1" applyFill="1" applyBorder="1" applyAlignment="1">
      <x:alignment horizontal="center" vertical="center"/>
    </x:xf>
    <x:xf numFmtId="0" fontId="0" fillId="9" borderId="1" xfId="0" applyNumberFormat="1" applyFont="1" applyFill="1" applyBorder="1"/>
    <x:xf numFmtId="0" fontId="7" fillId="9" borderId="1" xfId="0" applyNumberFormat="1" applyFont="1" applyFill="1" applyBorder="1"/>
    <x:xf numFmtId="0" fontId="7" fillId="9" borderId="1" xfId="0" applyNumberFormat="1" applyFont="1" applyFill="1" applyBorder="1" applyAlignment="1">
      <x:alignment horizontal="center"/>
    </x:xf>
    <x:xf numFmtId="0" fontId="7" fillId="9" borderId="1" xfId="0" applyNumberFormat="1" applyFont="1" applyFill="1" applyBorder="1" applyAlignment="1">
      <x:alignment horizontal="center" vertical="center"/>
    </x:xf>
    <x:xf numFmtId="0" fontId="8" fillId="2" borderId="0" xfId="0" applyNumberFormat="1" applyFont="1" applyFill="1" applyBorder="1"/>
    <x:xf numFmtId="0" fontId="8" fillId="2" borderId="0" xfId="0" applyNumberFormat="1" applyFont="1" applyFill="1" applyBorder="1" applyAlignment="1">
      <x:alignment horizontal="left"/>
    </x:xf>
    <x:xf numFmtId="0" fontId="8" fillId="2" borderId="0" xfId="0" applyNumberFormat="1" applyFont="1" applyFill="1" applyBorder="1" applyAlignment="1">
      <x:alignment horizontal="left" vertical="center"/>
    </x:xf>
    <x:xf numFmtId="0" fontId="8" fillId="2" borderId="1" xfId="0" applyNumberFormat="1" applyFont="1" applyFill="1" applyBorder="1"/>
    <x:xf numFmtId="0" fontId="8" fillId="2" borderId="1" xfId="0" applyNumberFormat="1" applyFont="1" applyFill="1" applyBorder="1" applyAlignment="1">
      <x:alignment horizontal="left"/>
    </x:xf>
    <x:xf numFmtId="0" fontId="8" fillId="2" borderId="1" xfId="0" applyNumberFormat="1" applyFont="1" applyFill="1" applyBorder="1" applyAlignment="1">
      <x:alignment horizontal="left" vertical="center"/>
    </x:xf>
    <x:xf numFmtId="0" fontId="9" fillId="3" borderId="0" xfId="0" applyNumberFormat="1" applyFont="1" applyFill="1" applyBorder="1"/>
    <x:xf numFmtId="0" fontId="9" fillId="3" borderId="0" xfId="0" applyNumberFormat="1" applyFont="1" applyFill="1" applyBorder="1" applyAlignment="1">
      <x:alignment wrapText="1"/>
    </x:xf>
    <x:xf numFmtId="0" fontId="9" fillId="3" borderId="0" xfId="0" applyNumberFormat="1" applyFont="1" applyFill="1" applyBorder="1" applyAlignment="1">
      <x:alignment vertical="center" wrapText="1"/>
    </x:xf>
    <x:xf numFmtId="0" fontId="9" fillId="3" borderId="1" xfId="0" applyNumberFormat="1" applyFont="1" applyFill="1" applyBorder="1"/>
    <x:xf numFmtId="0" fontId="9" fillId="3" borderId="1" xfId="0" applyNumberFormat="1" applyFont="1" applyFill="1" applyBorder="1" applyAlignment="1">
      <x:alignment wrapText="1"/>
    </x:xf>
    <x:xf numFmtId="0" fontId="9" fillId="3" borderId="1" xfId="0" applyNumberFormat="1" applyFont="1" applyFill="1" applyBorder="1" applyAlignment="1">
      <x:alignment vertical="center" wrapText="1"/>
    </x:xf>
    <x:xf numFmtId="0" fontId="6" fillId="0" borderId="0" xfId="0" applyNumberFormat="1" applyFont="1" applyFill="1" applyBorder="1"/>
    <x:xf numFmtId="0" fontId="6" fillId="0" borderId="0" xfId="0" applyNumberFormat="1" applyFont="1" applyFill="1" applyBorder="1" applyAlignment="1">
      <x:alignment vertical="center"/>
    </x:xf>
    <x:xf numFmtId="0" fontId="6" fillId="0" borderId="1" xfId="0" applyNumberFormat="1" applyFont="1" applyFill="1" applyBorder="1"/>
    <x:xf numFmtId="0" fontId="6" fillId="0" borderId="1" xfId="0" applyNumberFormat="1" applyFont="1" applyFill="1" applyBorder="1" applyAlignment="1">
      <x:alignment vertical="center"/>
    </x:xf>
    <x:xf numFmtId="0" fontId="10" fillId="0" borderId="0" xfId="0" applyNumberFormat="1" applyFont="1" applyFill="1" applyBorder="1" applyAlignment="1">
      <x:alignment vertical="center"/>
    </x:xf>
    <x:xf numFmtId="0" fontId="10" fillId="0" borderId="0" xfId="0" applyNumberFormat="1" applyFont="1" applyFill="1" applyBorder="1" applyAlignment="1">
      <x:alignment horizontal="center" vertical="center"/>
    </x:xf>
    <x:xf numFmtId="0" fontId="10" fillId="0" borderId="1" xfId="0" applyNumberFormat="1" applyFont="1" applyFill="1" applyBorder="1" applyAlignment="1">
      <x:alignment vertical="center"/>
    </x:xf>
    <x:xf numFmtId="0" fontId="10" fillId="0" borderId="1" xfId="0" applyNumberFormat="1" applyFont="1" applyFill="1" applyBorder="1" applyAlignment="1">
      <x:alignment horizontal="center" vertical="center"/>
    </x:xf>
    <x:xf numFmtId="0" fontId="6" fillId="5" borderId="0" xfId="0" applyNumberFormat="1" applyFont="1" applyFill="1" applyBorder="1" applyAlignment="1">
      <x:alignment vertical="center"/>
    </x:xf>
    <x:xf numFmtId="0" fontId="10" fillId="5" borderId="0" xfId="0" applyNumberFormat="1" applyFont="1" applyFill="1" applyBorder="1" applyAlignment="1">
      <x:alignment horizontal="center" vertical="center"/>
    </x:xf>
    <x:xf numFmtId="0" fontId="11" fillId="5" borderId="0" xfId="0" applyNumberFormat="1" applyFont="1" applyFill="1" applyBorder="1" applyAlignment="1">
      <x:alignment vertical="center"/>
    </x:xf>
    <x:xf numFmtId="0" fontId="6" fillId="5" borderId="1" xfId="0" applyNumberFormat="1" applyFont="1" applyFill="1" applyBorder="1" applyAlignment="1">
      <x:alignment vertical="center"/>
    </x:xf>
    <x:xf numFmtId="0" fontId="10" fillId="5" borderId="1" xfId="0" applyNumberFormat="1" applyFont="1" applyFill="1" applyBorder="1" applyAlignment="1">
      <x:alignment horizontal="center" vertical="center"/>
    </x:xf>
    <x:xf numFmtId="0" fontId="11" fillId="5" borderId="1" xfId="0" applyNumberFormat="1" applyFont="1" applyFill="1" applyBorder="1" applyAlignment="1">
      <x:alignment vertical="center"/>
    </x:xf>
    <x:xf numFmtId="0" fontId="1" fillId="2"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7" fillId="5" borderId="0" xfId="0" applyNumberFormat="1" applyFont="1" applyFill="1" applyBorder="1" applyAlignment="1">
      <x:alignment horizontal="center" vertical="center" wrapText="1"/>
    </x:xf>
    <x:xf numFmtId="0" fontId="7" fillId="6" borderId="0" xfId="0" applyNumberFormat="1" applyFont="1" applyFill="1" applyBorder="1" applyAlignment="1">
      <x:alignment horizontal="center" vertical="center" wrapText="1"/>
    </x:xf>
    <x:xf numFmtId="0" fontId="7" fillId="7" borderId="0" xfId="0" applyNumberFormat="1" applyFont="1" applyFill="1" applyBorder="1" applyAlignment="1">
      <x:alignment horizontal="center" vertical="center" wrapText="1"/>
    </x:xf>
    <x:xf numFmtId="0" fontId="8" fillId="2" borderId="0" xfId="0" applyNumberFormat="1" applyFont="1" applyFill="1" applyBorder="1" applyAlignment="1">
      <x:alignment horizontal="left" vertical="center" wrapText="1"/>
    </x:xf>
    <x:xf numFmtId="0" fontId="7" fillId="8" borderId="0" xfId="0" applyNumberFormat="1" applyFont="1" applyFill="1" applyBorder="1" applyAlignment="1">
      <x:alignment horizontal="center" vertical="center" wrapText="1"/>
    </x:xf>
    <x:xf numFmtId="0" fontId="7" fillId="9" borderId="0" xfId="0" applyNumberFormat="1" applyFont="1" applyFill="1" applyBorder="1" applyAlignment="1">
      <x:alignment horizontal="center" vertical="center" wrapText="1"/>
    </x:xf>
    <x:xf numFmtId="0" fontId="6" fillId="0" borderId="0" xfId="0" applyNumberFormat="1" applyFont="1" applyFill="1" applyBorder="1" applyAlignment="1">
      <x:alignment vertical="center" wrapText="1"/>
    </x:xf>
    <x:xf numFmtId="0" fontId="10" fillId="0" borderId="0" xfId="0" applyNumberFormat="1" applyFont="1" applyFill="1" applyBorder="1" applyAlignment="1">
      <x:alignment horizontal="center" vertical="center" wrapText="1"/>
    </x:xf>
    <x:xf numFmtId="0" fontId="11" fillId="5" borderId="0" xfId="0" applyNumberFormat="1" applyFont="1" applyFill="1" applyBorder="1" applyAlignment="1">
      <x:alignment vertical="center" wrapText="1"/>
    </x:xf>
    <x:xf numFmtId="0" fontId="10" fillId="5"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7" fillId="5" borderId="1" xfId="0" applyNumberFormat="1" applyFont="1" applyFill="1" applyBorder="1" applyAlignment="1">
      <x:alignment horizontal="center" vertical="center" wrapText="1"/>
    </x:xf>
    <x:xf numFmtId="0" fontId="7" fillId="6" borderId="1" xfId="0" applyNumberFormat="1" applyFont="1" applyFill="1" applyBorder="1" applyAlignment="1">
      <x:alignment horizontal="center" vertical="center" wrapText="1"/>
    </x:xf>
    <x:xf numFmtId="0" fontId="7" fillId="7" borderId="1" xfId="0" applyNumberFormat="1" applyFont="1" applyFill="1" applyBorder="1" applyAlignment="1">
      <x:alignment horizontal="center" vertical="center" wrapText="1"/>
    </x:xf>
    <x:xf numFmtId="0" fontId="8" fillId="2" borderId="1" xfId="0" applyNumberFormat="1" applyFont="1" applyFill="1" applyBorder="1" applyAlignment="1">
      <x:alignment horizontal="left" vertical="center" wrapText="1"/>
    </x:xf>
    <x:xf numFmtId="0" fontId="7" fillId="8" borderId="1" xfId="0" applyNumberFormat="1" applyFont="1" applyFill="1" applyBorder="1" applyAlignment="1">
      <x:alignment horizontal="center" vertical="center" wrapText="1"/>
    </x:xf>
    <x:xf numFmtId="0" fontId="7" fillId="9" borderId="1" xfId="0" applyNumberFormat="1" applyFont="1" applyFill="1" applyBorder="1" applyAlignment="1">
      <x:alignment horizontal="center" vertical="center" wrapText="1"/>
    </x:xf>
    <x:xf numFmtId="0" fontId="6" fillId="0" borderId="1" xfId="0" applyNumberFormat="1" applyFont="1" applyFill="1" applyBorder="1" applyAlignment="1">
      <x:alignment vertical="center" wrapText="1"/>
    </x:xf>
    <x:xf numFmtId="0" fontId="10" fillId="0" borderId="1" xfId="0" applyNumberFormat="1" applyFont="1" applyFill="1" applyBorder="1" applyAlignment="1">
      <x:alignment horizontal="center" vertical="center" wrapText="1"/>
    </x:xf>
    <x:xf numFmtId="0" fontId="11" fillId="5" borderId="1" xfId="0" applyNumberFormat="1" applyFont="1" applyFill="1" applyBorder="1" applyAlignment="1">
      <x:alignment vertical="center" wrapText="1"/>
    </x:xf>
    <x:xf numFmtId="0" fontId="10" fillId="5" borderId="1" xfId="0" applyNumberFormat="1" applyFont="1" applyFill="1" applyBorder="1" applyAlignment="1">
      <x:alignment horizontal="center" vertical="center" wrapText="1"/>
    </x:xf>
    <x:xf numFmtId="0" fontId="0" fillId="6" borderId="0" xfId="0" applyNumberFormat="1" applyFont="1" applyFill="1" applyBorder="1" applyAlignment="1">
      <x:alignment wrapText="1"/>
    </x:xf>
    <x:xf numFmtId="0" fontId="12" fillId="6" borderId="0" xfId="0" applyNumberFormat="1" applyFont="1" applyFill="1" applyBorder="1" applyAlignment="1">
      <x:alignment wrapText="1"/>
    </x:xf>
    <x:xf numFmtId="0" fontId="12" fillId="6" borderId="0" xfId="0" applyNumberFormat="1" applyFont="1" applyFill="1" applyBorder="1" applyAlignment="1">
      <x:alignment horizontal="left" wrapText="1"/>
    </x:xf>
    <x:xf numFmtId="0" fontId="12" fillId="6" borderId="0" xfId="0" applyNumberFormat="1" applyFont="1" applyFill="1" applyBorder="1" applyAlignment="1">
      <x:alignment horizontal="left" vertical="center" wrapText="1"/>
    </x:xf>
    <x:xf numFmtId="0" fontId="0" fillId="6" borderId="1" xfId="0" applyNumberFormat="1" applyFont="1" applyFill="1" applyBorder="1" applyAlignment="1">
      <x:alignment wrapText="1"/>
    </x:xf>
    <x:xf numFmtId="0" fontId="12" fillId="6" borderId="1" xfId="0" applyNumberFormat="1" applyFont="1" applyFill="1" applyBorder="1" applyAlignment="1">
      <x:alignment wrapText="1"/>
    </x:xf>
    <x:xf numFmtId="0" fontId="12" fillId="6" borderId="1" xfId="0" applyNumberFormat="1" applyFont="1" applyFill="1" applyBorder="1" applyAlignment="1">
      <x:alignment horizontal="left" wrapText="1"/>
    </x:xf>
    <x:xf numFmtId="0" fontId="12" fillId="6" borderId="1" xfId="0" applyNumberFormat="1" applyFont="1" applyFill="1" applyBorder="1" applyAlignment="1">
      <x:alignment horizontal="left" vertical="center" wrapText="1"/>
    </x:xf>
    <x:xf numFmtId="0" fontId="9" fillId="8" borderId="0" xfId="0" applyNumberFormat="1" applyFont="1" applyFill="1" applyBorder="1"/>
    <x:xf numFmtId="0" fontId="9" fillId="8" borderId="0" xfId="0" applyNumberFormat="1" applyFont="1" applyFill="1" applyBorder="1" applyAlignment="1">
      <x:alignment wrapText="1"/>
    </x:xf>
    <x:xf numFmtId="0" fontId="9" fillId="8" borderId="0" xfId="0" applyNumberFormat="1" applyFont="1" applyFill="1" applyBorder="1" applyAlignment="1">
      <x:alignment vertical="center" wrapText="1"/>
    </x:xf>
    <x:xf numFmtId="0" fontId="9" fillId="8" borderId="1" xfId="0" applyNumberFormat="1" applyFont="1" applyFill="1" applyBorder="1"/>
    <x:xf numFmtId="0" fontId="9" fillId="8" borderId="1" xfId="0" applyNumberFormat="1" applyFont="1" applyFill="1" applyBorder="1" applyAlignment="1">
      <x:alignment wrapText="1"/>
    </x:xf>
    <x:xf numFmtId="0" fontId="9" fillId="8" borderId="1" xfId="0" applyNumberFormat="1" applyFont="1" applyFill="1" applyBorder="1" applyAlignment="1">
      <x:alignment vertical="center"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center" wrapText="1"/>
    </x:xf>
    <x:xf numFmtId="0" fontId="10" fillId="3" borderId="1" xfId="0" applyNumberFormat="1" applyFont="1" applyFill="1" applyBorder="1"/>
    <x:xf numFmtId="0" fontId="10" fillId="3" borderId="1" xfId="0" applyNumberFormat="1" applyFont="1" applyFill="1" applyBorder="1" applyAlignment="1">
      <x:alignment wrapText="1"/>
    </x:xf>
    <x:xf numFmtId="0" fontId="10" fillId="3" borderId="1" xfId="0" applyNumberFormat="1" applyFont="1" applyFill="1" applyBorder="1" applyAlignment="1">
      <x:alignment vertical="center" wrapText="1"/>
    </x:xf>
    <x:xf numFmtId="0" fontId="6" fillId="0" borderId="0" xfId="0" applyNumberFormat="1" applyFont="1" applyFill="1" applyBorder="1" applyAlignment="1">
      <x:alignment wrapText="1"/>
    </x:xf>
    <x:xf numFmtId="0" fontId="6" fillId="0" borderId="1" xfId="0" applyNumberFormat="1" applyFont="1" applyFill="1" applyBorder="1" applyAlignment="1">
      <x:alignment wrapText="1"/>
    </x:xf>
    <x:xf numFmtId="0" fontId="13" fillId="9" borderId="0" xfId="0" applyNumberFormat="1" applyFont="1" applyFill="1" applyBorder="1"/>
    <x:xf numFmtId="0" fontId="13" fillId="9" borderId="0" xfId="0" applyNumberFormat="1" applyFont="1" applyFill="1" applyBorder="1" applyAlignment="1">
      <x:alignment wrapText="1"/>
    </x:xf>
    <x:xf numFmtId="0" fontId="13" fillId="9" borderId="0" xfId="0" applyNumberFormat="1" applyFont="1" applyFill="1" applyBorder="1" applyAlignment="1">
      <x:alignment vertical="center" wrapText="1"/>
    </x:xf>
    <x:xf numFmtId="0" fontId="13" fillId="9" borderId="1" xfId="0" applyNumberFormat="1" applyFont="1" applyFill="1" applyBorder="1"/>
    <x:xf numFmtId="0" fontId="13" fillId="9" borderId="1" xfId="0" applyNumberFormat="1" applyFont="1" applyFill="1" applyBorder="1" applyAlignment="1">
      <x:alignment wrapText="1"/>
    </x:xf>
    <x:xf numFmtId="0" fontId="13" fillId="9" borderId="1" xfId="0" applyNumberFormat="1" applyFont="1" applyFill="1" applyBorder="1" applyAlignment="1">
      <x:alignment vertical="center" wrapText="1"/>
    </x:xf>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cellXfs>
  <x:cellStyles count="1">
    <x:cellStyle name="Normal" xfId="0"/>
  </x:cellStyles>
  <x:dxfs count="8">
    <x:dxf>
      <x:font>
        <x:b/>
        <x:color rgb="FF15803D"/>
      </x:font>
      <x:fill>
        <x:patternFill patternType="solid">
          <x:bgColor rgb="FFECFDF5"/>
        </x:patternFill>
      </x:fill>
    </x:dxf>
    <x:dxf>
      <x:font>
        <x:color rgb="FFB91C1C"/>
      </x:font>
      <x:fill>
        <x:patternFill patternType="solid">
          <x:bgColor rgb="FFFEF2F2"/>
        </x:patternFill>
      </x:fill>
    </x:dxf>
    <x:dxf>
      <x:font>
        <x:b/>
        <x:color rgb="FFB45309"/>
      </x:font>
      <x:fill>
        <x:patternFill patternType="solid">
          <x:bgColor rgb="FFFFF7ED"/>
        </x:patternFill>
      </x:fill>
    </x:dxf>
    <x:dxf>
      <x:font>
        <x:color rgb="FF6B7280"/>
      </x:font>
      <x:fill>
        <x:patternFill patternType="solid">
          <x:bgColor rgb="FFF3F4F6"/>
        </x:patternFill>
      </x:fill>
    </x:dxf>
    <x:dxf>
      <x:font>
        <x:b/>
        <x:color rgb="FF15803D"/>
      </x:font>
      <x:fill>
        <x:patternFill patternType="solid">
          <x:bgColor rgb="FFECFDF5"/>
        </x:patternFill>
      </x:fill>
    </x:dxf>
    <x:dxf>
      <x:font>
        <x:color rgb="FFB91C1C"/>
      </x:font>
      <x:fill>
        <x:patternFill patternType="solid">
          <x:bgColor rgb="FFFEF2F2"/>
        </x:patternFill>
      </x:fill>
    </x:dxf>
    <x:dxf>
      <x:font>
        <x:b/>
        <x:color rgb="FFB45309"/>
      </x:font>
      <x:fill>
        <x:patternFill patternType="solid">
          <x:bgColor rgb="FFFFF7ED"/>
        </x:patternFill>
      </x:fill>
    </x:dxf>
    <x:dxf>
      <x:font>
        <x:color rgb="FFB91C1C"/>
      </x:font>
      <x:fill>
        <x:patternFill patternType="solid">
          <x:bgColor rgb="FFFEF2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d66fbae2cbf490b" /><Relationship Type="http://schemas.openxmlformats.org/officeDocument/2006/relationships/theme" Target="/xl/theme/theme1.xml" Id="Rdc4d0a614abf45b7" /><Relationship Type="http://schemas.openxmlformats.org/officeDocument/2006/relationships/sharedStrings" Target="/xl/sharedStrings.xml" Id="R19907ff26e8e4768" /><Relationship Type="http://schemas.openxmlformats.org/officeDocument/2006/relationships/worksheet" Target="/xl/worksheets/sheet1.xml" Id="R64681c6e1f794c01" /><Relationship Type="http://schemas.openxmlformats.org/officeDocument/2006/relationships/worksheet" Target="/xl/worksheets/sheet2.xml" Id="Re76a6e7aa3634fea" /><Relationship Type="http://schemas.openxmlformats.org/officeDocument/2006/relationships/worksheet" Target="/xl/worksheets/sheet3.xml" Id="Rfb4c86f9535443e9" /><Relationship Type="http://schemas.openxmlformats.org/officeDocument/2006/relationships/worksheet" Target="/xl/worksheets/sheet4.xml" Id="Rf0ccc15962be4871" /><Relationship Type="http://schemas.openxmlformats.org/officeDocument/2006/relationships/worksheet" Target="/xl/worksheets/sheet5.xml" Id="Rae4b781260244363" /><Relationship Type="http://schemas.openxmlformats.org/officeDocument/2006/relationships/worksheet" Target="/xl/worksheets/sheet6.xml" Id="R49370295adcf4258" /><Relationship Type="http://schemas.openxmlformats.org/officeDocument/2006/relationships/worksheet" Target="/xl/worksheets/sheet7.xml" Id="R2a0da75d0a424d0f" /></Relationships>
</file>

<file path=xl/drawings/_rels/drawing1.xml.rels>&#65279;<?xml version="1.0" encoding="utf-8"?><Relationships xmlns="http://schemas.openxmlformats.org/package/2006/relationships"><Relationship Type="http://schemas.openxmlformats.org/officeDocument/2006/relationships/chart" Target="/xl/drawings/charts/chart1.xml" Id="Rfb263bbc1241455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Verified placements by evidence type</a:t>
            </a:r>
          </a:p>
        </c:rich>
      </c:tx>
    </c:title>
    <c:plotArea>
      <c:barChart>
        <c:barDir val="col"/>
        <c:grouping val="clustered"/>
        <c:varyColors val="0"/>
        <c:ser>
          <c:idx val="0"/>
          <c:order val="0"/>
          <c:tx>
            <c:v>Placements</c:v>
          </c:tx>
          <c:cat>
            <c:strRef>
              <c:f>'Dashboard'!$A$21:$A$24</c:f>
              <c:strCache>
                <c:ptCount val="0"/>
              </c:strCache>
            </c:strRef>
          </c:cat>
          <c:val>
            <c:numRef>
              <c:f>'Dashboard'!$B$21:$B$24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2</xdr:row>
      <xdr:rowOff>0</xdr:rowOff>
    </xdr:from>
    <xdr:to>
      <xdr:col>16</xdr:col>
      <xdr:colOff>0</xdr:colOff>
      <xdr:row>13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b263bbc12414555"/>
        </a:graphicData>
      </a:graphic>
    </xdr:graphicFrame>
    <xdr:clientData/>
  </xdr:twoCellAnchor>
</xdr:wsDr>
</file>

<file path=xl/tables/table1.xml><?xml version="1.0" encoding="utf-8"?>
<x:table xmlns:x="http://schemas.openxmlformats.org/spreadsheetml/2006/main" id="1" name="VerifiedCoverageTable" displayName="VerifiedCoverageTable" ref="A4:R26" headerRowCount="1" totalsRowCount="0" totalsRowShown="0">
  <x:tableColumns count="18">
    <x:tableColumn id="1" name="ID"/>
    <x:tableColumn id="2" name="Paper #"/>
    <x:tableColumn id="3" name="Paper"/>
    <x:tableColumn id="4" name="Date"/>
    <x:tableColumn id="5" name="Outlet"/>
    <x:tableColumn id="6" name="Coverage item"/>
    <x:tableColumn id="7" name="Code"/>
    <x:tableColumn id="8" name="Category"/>
    <x:tableColumn id="9" name="Independence"/>
    <x:tableColumn id="10" name="Placement type"/>
    <x:tableColumn id="11" name="Narrative ID"/>
    <x:tableColumn id="12" name="Unique narrative"/>
    <x:tableColumn id="13" name="Promotion value"/>
    <x:tableColumn id="14" name="Verification"/>
    <x:tableColumn id="15" name="Evidence / relevance"/>
    <x:tableColumn id="16" name="Source URL"/>
    <x:tableColumn id="17" name="Accessed"/>
    <x:tableColumn id="18" name="Caveat / note"/>
  </x:tableColumns>
  <x:tableStyleInfo name="TableStyleMedium2" showFirstColumn="0" showLastColumn="0" showRowStripes="1" showColumnStripes="0"/>
</x:table>
</file>

<file path=xl/tables/table2.xml><?xml version="1.0" encoding="utf-8"?>
<x:table xmlns:x="http://schemas.openxmlformats.org/spreadsheetml/2006/main" id="2" name="PaperAuditTable" displayName="PaperAuditTable" ref="A4:P24" headerRowCount="1" totalsRowCount="0" totalsRowShown="0">
  <x:tableColumns count="16">
    <x:tableColumn id="1" name="#"/>
    <x:tableColumn id="2" name="Current / final title"/>
    <x:tableColumn id="3" name="Status / outlet / year"/>
    <x:tableColumn id="4" name="Coauthors"/>
    <x:tableColumn id="5" name="Title variants searched"/>
    <x:tableColumn id="6" name="Independent / practitioner"/>
    <x:tableColumn id="7" name="Institutional"/>
    <x:tableColumn id="8" name="Policy"/>
    <x:tableColumn id="9" name="Syndication"/>
    <x:tableColumn id="10" name="Total placements"/>
    <x:tableColumn id="11" name="Verified external impact?"/>
    <x:tableColumn id="12" name="Impact flag"/>
    <x:tableColumn id="13" name="Best evidence"/>
    <x:tableColumn id="14" name="Coauthor / dissemination pass"/>
    <x:tableColumn id="15" name="Audit conclusion"/>
    <x:tableColumn id="16" name="Primary paper / record"/>
  </x:tableColumns>
  <x:tableStyleInfo name="TableStyleMedium2" showFirstColumn="0" showLastColumn="0" showRowStripes="1" showColumnStripes="0"/>
</x:table>
</file>

<file path=xl/tables/table3.xml><?xml version="1.0" encoding="utf-8"?>
<x:table xmlns:x="http://schemas.openxmlformats.org/spreadsheetml/2006/main" id="3" name="DisseminationTable" displayName="DisseminationTable" ref="A4:G17" headerRowCount="1" totalsRowCount="0" totalsRowShown="0">
  <x:tableColumns count="7">
    <x:tableColumn id="1" name="ID"/>
    <x:tableColumn id="2" name="Paper #"/>
    <x:tableColumn id="3" name="Source"/>
    <x:tableColumn id="4" name="What it shows"/>
    <x:tableColumn id="5" name="Type"/>
    <x:tableColumn id="6" name="URL"/>
    <x:tableColumn id="7" name="Counting note"/>
  </x:tableColumns>
  <x:tableStyleInfo name="TableStyleMedium2" showFirstColumn="0" showLastColumn="0" showRowStripes="1" showColumnStripes="0"/>
</x:table>
</file>

<file path=xl/tables/table4.xml><?xml version="1.0" encoding="utf-8"?>
<x:table xmlns:x="http://schemas.openxmlformats.org/spreadsheetml/2006/main" id="4" name="LeadsExclusionsTable" displayName="LeadsExclusionsTable" ref="A4:H15" headerRowCount="1" totalsRowCount="0" totalsRowShown="0">
  <x:tableColumns count="8">
    <x:tableColumn id="1" name="ID"/>
    <x:tableColumn id="2" name="Paper #"/>
    <x:tableColumn id="3" name="Lead / candidate"/>
    <x:tableColumn id="4" name="Source type"/>
    <x:tableColumn id="5" name="Status"/>
    <x:tableColumn id="6" name="Why not counted / warning"/>
    <x:tableColumn id="7" name="URL"/>
    <x:tableColumn id="8" name="Next action"/>
  </x:tableColumns>
  <x:tableStyleInfo name="TableStyleMedium2" showFirstColumn="0" showLastColumn="0" showRowStripes="1" showColumnStripes="0"/>
</x:table>
</file>

<file path=xl/tables/table5.xml><?xml version="1.0" encoding="utf-8"?>
<x:table xmlns:x="http://schemas.openxmlformats.org/spreadsheetml/2006/main" id="5" name="MethodTable" displayName="MethodTable" ref="A4:B18" headerRowCount="1" totalsRowCount="0" totalsRowShown="0">
  <x:tableColumns count="2">
    <x:tableColumn id="1" name="Field"/>
    <x:tableColumn id="2" name="Audit specific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3cda7afd4be4dc6" /></Relationships>
</file>

<file path=xl/worksheets/_rels/sheet2.xml.rels>&#65279;<?xml version="1.0" encoding="utf-8"?><Relationships xmlns="http://schemas.openxmlformats.org/package/2006/relationships"><Relationship Type="http://schemas.openxmlformats.org/officeDocument/2006/relationships/table" Target="/xl/tables/table1.xml" Id="Rd66295e31ad04bce" /></Relationships>
</file>

<file path=xl/worksheets/_rels/sheet3.xml.rels>&#65279;<?xml version="1.0" encoding="utf-8"?><Relationships xmlns="http://schemas.openxmlformats.org/package/2006/relationships"><Relationship Type="http://schemas.openxmlformats.org/officeDocument/2006/relationships/table" Target="/xl/tables/table2.xml" Id="R994e03fcd5a544c1" /></Relationships>
</file>

<file path=xl/worksheets/_rels/sheet4.xml.rels>&#65279;<?xml version="1.0" encoding="utf-8"?><Relationships xmlns="http://schemas.openxmlformats.org/package/2006/relationships"><Relationship Type="http://schemas.openxmlformats.org/officeDocument/2006/relationships/table" Target="/xl/tables/table3.xml" Id="R8863c42a9a7743f9" /></Relationships>
</file>

<file path=xl/worksheets/_rels/sheet5.xml.rels>&#65279;<?xml version="1.0" encoding="utf-8"?><Relationships xmlns="http://schemas.openxmlformats.org/package/2006/relationships"><Relationship Type="http://schemas.openxmlformats.org/officeDocument/2006/relationships/table" Target="/xl/tables/table4.xml" Id="Rd0e1a17709bb45cd" /></Relationships>
</file>

<file path=xl/worksheets/_rels/sheet7.xml.rels>&#65279;<?xml version="1.0" encoding="utf-8"?><Relationships xmlns="http://schemas.openxmlformats.org/package/2006/relationships"><Relationship Type="http://schemas.openxmlformats.org/officeDocument/2006/relationships/table" Target="/xl/tables/table5.xml" Id="Rba97bc0351054148" /></Relationships>
</file>

<file path=xl/worksheets/sheet1.xml><?xml version="1.0" encoding="utf-8"?>
<x:worksheet xmlns:x="http://schemas.openxmlformats.org/spreadsheetml/2006/main">
  <x:sheetFormatPr defaultRowHeight="15"/>
  <x:cols>
    <x:col min="1" max="1" width="16" hidden="0" customWidth="1"/>
    <x:col min="2" max="2" width="16" hidden="0" customWidth="1"/>
    <x:col min="3" max="3" width="3" hidden="0" customWidth="1"/>
    <x:col min="4" max="4" width="26" hidden="0" customWidth="1"/>
    <x:col min="5" max="5" width="12" hidden="0" customWidth="1"/>
    <x:col min="6" max="6" width="12" hidden="0" customWidth="1"/>
    <x:col min="7" max="7" width="36" hidden="0" customWidth="1"/>
    <x:col min="8" max="8" width="16" hidden="0" customWidth="1"/>
    <x:col min="9" max="9" width="3"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s>
  <x:sheetData>
    <x:row r="1" ht="34" customHeight="1">
      <x:c r="A1" s="110" t="str">
        <x:v>Jedson Pinto — Media, Policy &amp; Public-Impact Audit</x:v>
      </x:c>
      <x:c r="B1" s="110"/>
      <x:c r="C1" s="110"/>
      <x:c r="D1" s="110"/>
      <x:c r="E1" s="110"/>
      <x:c r="F1" s="110"/>
      <x:c r="G1" s="110"/>
      <x:c r="H1" s="110"/>
      <x:c r="I1" s="110"/>
      <x:c r="J1" s="110"/>
      <x:c r="K1" s="110"/>
      <x:c r="L1" s="110"/>
      <x:c r="M1" s="110"/>
      <x:c r="N1" s="110"/>
      <x:c r="O1" s="110"/>
      <x:c r="P1" s="110"/>
    </x:row>
    <x:row r="2" ht="28" customHeight="1">
      <x:c r="A2" s="14" t="str">
        <x:v>Promotion-dossier evidence map based on the live CV and a verified public-web search through August 16, 2026.</x:v>
      </x:c>
      <x:c r="B2" s="14"/>
      <x:c r="C2" s="14"/>
      <x:c r="D2" s="14"/>
      <x:c r="E2" s="14"/>
      <x:c r="F2" s="14"/>
      <x:c r="G2" s="14"/>
      <x:c r="H2" s="14"/>
      <x:c r="I2" s="14"/>
      <x:c r="J2" s="14"/>
      <x:c r="K2" s="14"/>
      <x:c r="L2" s="14"/>
      <x:c r="M2" s="14"/>
      <x:c r="N2" s="14"/>
      <x:c r="O2" s="14"/>
      <x:c r="P2" s="14"/>
    </x:row>
    <x:row r="3">
      <x:c r="A3" s="111"/>
      <x:c r="B3" s="111"/>
      <x:c r="C3" s="111"/>
      <x:c r="D3" s="111"/>
      <x:c r="E3" s="111"/>
      <x:c r="F3" s="111"/>
      <x:c r="G3" s="111"/>
      <x:c r="H3" s="111"/>
      <x:c r="I3" s="111"/>
      <x:c r="J3" s="111"/>
      <x:c r="K3" s="111"/>
      <x:c r="L3" s="111"/>
      <x:c r="M3" s="111"/>
      <x:c r="N3" s="111"/>
      <x:c r="O3" s="111"/>
      <x:c r="P3" s="111"/>
    </x:row>
    <x:row r="4">
      <x:c r="A4" s="24" t="str">
        <x:v>Verified placements</x:v>
      </x:c>
      <x:c r="B4" s="24"/>
      <x:c r="C4" s="111"/>
      <x:c r="D4" s="24" t="str">
        <x:v>Distinct narratives</x:v>
      </x:c>
      <x:c r="E4" s="24"/>
      <x:c r="F4" s="111"/>
      <x:c r="G4" s="24" t="str">
        <x:v>Policy / regulator documents</x:v>
      </x:c>
      <x:c r="H4" s="24"/>
      <x:c r="I4" s="111"/>
      <x:c r="J4" s="111"/>
      <x:c r="K4" s="111"/>
      <x:c r="L4" s="111"/>
      <x:c r="M4" s="111"/>
      <x:c r="N4" s="111"/>
      <x:c r="O4" s="111"/>
      <x:c r="P4" s="111"/>
    </x:row>
    <x:row r="5">
      <x:c r="A5" s="112" t="n">
        <x:f>COUNTA('Verified Coverage'!$A$5:$A$100)</x:f>
        <x:v>22</x:v>
      </x:c>
      <x:c r="B5" s="112"/>
      <x:c r="C5" s="111"/>
      <x:c r="D5" s="112" t="n">
        <x:f>SUM('Verified Coverage'!$L$5:$L$100)</x:f>
        <x:v>17</x:v>
      </x:c>
      <x:c r="E5" s="112"/>
      <x:c r="F5" s="111"/>
      <x:c r="G5" s="113" t="n">
        <x:f>COUNTIF('Verified Coverage'!$G$5:$G$100,"D")</x:f>
        <x:v>4</x:v>
      </x:c>
      <x:c r="H5" s="113"/>
      <x:c r="I5" s="111"/>
      <x:c r="J5" s="111"/>
      <x:c r="K5" s="111"/>
      <x:c r="L5" s="111"/>
      <x:c r="M5" s="111"/>
      <x:c r="N5" s="111"/>
      <x:c r="O5" s="111"/>
      <x:c r="P5" s="111"/>
    </x:row>
    <x:row r="6">
      <x:c r="A6" s="112"/>
      <x:c r="B6" s="112"/>
      <x:c r="C6" s="111"/>
      <x:c r="D6" s="112"/>
      <x:c r="E6" s="112"/>
      <x:c r="F6" s="111"/>
      <x:c r="G6" s="113"/>
      <x:c r="H6" s="113"/>
      <x:c r="I6" s="111"/>
      <x:c r="J6" s="111"/>
      <x:c r="K6" s="111"/>
      <x:c r="L6" s="111"/>
      <x:c r="M6" s="111"/>
      <x:c r="N6" s="111"/>
      <x:c r="O6" s="111"/>
      <x:c r="P6" s="111"/>
    </x:row>
    <x:row r="7">
      <x:c r="A7" s="112"/>
      <x:c r="B7" s="112"/>
      <x:c r="C7" s="111"/>
      <x:c r="D7" s="112"/>
      <x:c r="E7" s="112"/>
      <x:c r="F7" s="111"/>
      <x:c r="G7" s="113"/>
      <x:c r="H7" s="113"/>
      <x:c r="I7" s="111"/>
      <x:c r="J7" s="111"/>
      <x:c r="K7" s="111"/>
      <x:c r="L7" s="111"/>
      <x:c r="M7" s="111"/>
      <x:c r="N7" s="111"/>
      <x:c r="O7" s="111"/>
      <x:c r="P7" s="111"/>
    </x:row>
    <x:row r="8">
      <x:c r="A8" s="111"/>
      <x:c r="B8" s="111"/>
      <x:c r="C8" s="111"/>
      <x:c r="D8" s="111"/>
      <x:c r="E8" s="111"/>
      <x:c r="F8" s="111"/>
      <x:c r="G8" s="111"/>
      <x:c r="H8" s="111"/>
      <x:c r="I8" s="111"/>
      <x:c r="J8" s="111"/>
      <x:c r="K8" s="111"/>
      <x:c r="L8" s="111"/>
      <x:c r="M8" s="111"/>
      <x:c r="N8" s="111"/>
      <x:c r="O8" s="111"/>
      <x:c r="P8" s="111"/>
    </x:row>
    <x:row r="9">
      <x:c r="A9" s="24" t="str">
        <x:v>Independent / practitioner</x:v>
      </x:c>
      <x:c r="B9" s="24"/>
      <x:c r="C9" s="111"/>
      <x:c r="D9" s="24" t="str">
        <x:v>Institutional translations</x:v>
      </x:c>
      <x:c r="E9" s="24"/>
      <x:c r="F9" s="111"/>
      <x:c r="G9" s="24" t="str">
        <x:v>Syndications / mirrors</x:v>
      </x:c>
      <x:c r="H9" s="24"/>
      <x:c r="I9" s="111"/>
      <x:c r="J9" s="111"/>
      <x:c r="K9" s="111"/>
      <x:c r="L9" s="111"/>
      <x:c r="M9" s="111"/>
      <x:c r="N9" s="111"/>
      <x:c r="O9" s="111"/>
      <x:c r="P9" s="111"/>
    </x:row>
    <x:row r="10">
      <x:c r="A10" s="112" t="n">
        <x:f>COUNTIF('Verified Coverage'!$G$5:$G$100,"A")+COUNTIF('Verified Coverage'!$G$5:$G$100,"B")</x:f>
        <x:v>9</x:v>
      </x:c>
      <x:c r="B10" s="112"/>
      <x:c r="C10" s="111"/>
      <x:c r="D10" s="112" t="n">
        <x:f>COUNTIF('Verified Coverage'!$G$5:$G$100,"C")</x:f>
        <x:v>4</x:v>
      </x:c>
      <x:c r="E10" s="112"/>
      <x:c r="F10" s="111"/>
      <x:c r="G10" s="114" t="n">
        <x:f>COUNTIF('Verified Coverage'!$G$5:$G$100,"E")</x:f>
        <x:v>5</x:v>
      </x:c>
      <x:c r="H10" s="114"/>
      <x:c r="I10" s="111"/>
      <x:c r="J10" s="111"/>
      <x:c r="K10" s="111"/>
      <x:c r="L10" s="111"/>
      <x:c r="M10" s="111"/>
      <x:c r="N10" s="111"/>
      <x:c r="O10" s="111"/>
      <x:c r="P10" s="111"/>
    </x:row>
    <x:row r="11">
      <x:c r="A11" s="112"/>
      <x:c r="B11" s="112"/>
      <x:c r="C11" s="111"/>
      <x:c r="D11" s="112"/>
      <x:c r="E11" s="112"/>
      <x:c r="F11" s="111"/>
      <x:c r="G11" s="114"/>
      <x:c r="H11" s="114"/>
      <x:c r="I11" s="111"/>
      <x:c r="J11" s="111"/>
      <x:c r="K11" s="111"/>
      <x:c r="L11" s="111"/>
      <x:c r="M11" s="111"/>
      <x:c r="N11" s="111"/>
      <x:c r="O11" s="111"/>
      <x:c r="P11" s="111"/>
    </x:row>
    <x:row r="12">
      <x:c r="A12" s="112"/>
      <x:c r="B12" s="112"/>
      <x:c r="C12" s="111"/>
      <x:c r="D12" s="112"/>
      <x:c r="E12" s="112"/>
      <x:c r="F12" s="111"/>
      <x:c r="G12" s="114"/>
      <x:c r="H12" s="114"/>
      <x:c r="I12" s="111"/>
      <x:c r="J12" s="111"/>
      <x:c r="K12" s="111"/>
      <x:c r="L12" s="111"/>
      <x:c r="M12" s="111"/>
      <x:c r="N12" s="111"/>
      <x:c r="O12" s="111"/>
      <x:c r="P12" s="111"/>
    </x:row>
    <x:row r="13">
      <x:c r="A13" s="111"/>
      <x:c r="B13" s="111"/>
      <x:c r="C13" s="111"/>
      <x:c r="D13" s="111"/>
      <x:c r="E13" s="111"/>
      <x:c r="F13" s="111"/>
      <x:c r="G13" s="111"/>
      <x:c r="H13" s="111"/>
      <x:c r="I13" s="111"/>
      <x:c r="J13" s="111"/>
      <x:c r="K13" s="111"/>
      <x:c r="L13" s="111"/>
      <x:c r="M13" s="111"/>
      <x:c r="N13" s="111"/>
      <x:c r="O13" s="111"/>
      <x:c r="P13" s="111"/>
    </x:row>
    <x:row r="14">
      <x:c r="A14" s="24" t="str">
        <x:v>Papers with verified impact</x:v>
      </x:c>
      <x:c r="B14" s="24"/>
      <x:c r="C14" s="111"/>
      <x:c r="D14" s="24" t="str">
        <x:v>Papers with no verified public hit</x:v>
      </x:c>
      <x:c r="E14" s="24"/>
      <x:c r="F14" s="111"/>
      <x:c r="G14" s="115" t="str">
        <x:v>PROMOTION-READY INTERPRETATION</x:v>
      </x:c>
      <x:c r="H14" s="115"/>
      <x:c r="I14" s="115"/>
      <x:c r="J14" s="115"/>
      <x:c r="K14" s="115"/>
      <x:c r="L14" s="115"/>
      <x:c r="M14" s="115"/>
      <x:c r="N14" s="115"/>
      <x:c r="O14" s="115"/>
      <x:c r="P14" s="115"/>
    </x:row>
    <x:row r="15">
      <x:c r="A15" s="116" t="n">
        <x:f>SUM('Paper Audit'!$L$5:$L$24)</x:f>
        <x:v>7</x:v>
      </x:c>
      <x:c r="B15" s="116"/>
      <x:c r="C15" s="111"/>
      <x:c r="D15" s="117" t="n">
        <x:f>20-SUM('Paper Audit'!$L$5:$L$24)</x:f>
        <x:v>13</x:v>
      </x:c>
      <x:c r="E15" s="117"/>
      <x:c r="F15" s="111"/>
      <x:c r="G15" s="92" t="str">
        <x:v>The strongest external-impact evidence is not a raw media count. The MiFID II paper appears in four official U.S./European policy documents; the GDPR paper has independent Accounting Today coverage plus substantive privacy-industry use; and the IPO paper generated a multi-outlet practitioner discussion chain.</x:v>
      </x:c>
      <x:c r="H15" s="92"/>
      <x:c r="I15" s="92"/>
      <x:c r="J15" s="92"/>
      <x:c r="K15" s="92"/>
      <x:c r="L15" s="92"/>
      <x:c r="M15" s="92"/>
      <x:c r="N15" s="92"/>
      <x:c r="O15" s="92"/>
      <x:c r="P15" s="92"/>
    </x:row>
    <x:row r="16">
      <x:c r="A16" s="116"/>
      <x:c r="B16" s="116"/>
      <x:c r="C16" s="111"/>
      <x:c r="D16" s="117"/>
      <x:c r="E16" s="117"/>
      <x:c r="F16" s="111"/>
      <x:c r="G16" s="92"/>
      <x:c r="H16" s="92"/>
      <x:c r="I16" s="92"/>
      <x:c r="J16" s="92"/>
      <x:c r="K16" s="92"/>
      <x:c r="L16" s="92"/>
      <x:c r="M16" s="92"/>
      <x:c r="N16" s="92"/>
      <x:c r="O16" s="92"/>
      <x:c r="P16" s="92"/>
    </x:row>
    <x:row r="17">
      <x:c r="A17" s="116"/>
      <x:c r="B17" s="116"/>
      <x:c r="C17" s="111"/>
      <x:c r="D17" s="117"/>
      <x:c r="E17" s="117"/>
      <x:c r="F17" s="111"/>
      <x:c r="G17" s="92"/>
      <x:c r="H17" s="92"/>
      <x:c r="I17" s="92"/>
      <x:c r="J17" s="92"/>
      <x:c r="K17" s="92"/>
      <x:c r="L17" s="92"/>
      <x:c r="M17" s="92"/>
      <x:c r="N17" s="92"/>
      <x:c r="O17" s="92"/>
      <x:c r="P17" s="92"/>
    </x:row>
    <x:row r="18">
      <x:c r="A18" s="111"/>
      <x:c r="B18" s="111"/>
      <x:c r="C18" s="111"/>
      <x:c r="D18" s="111"/>
      <x:c r="E18" s="111"/>
      <x:c r="F18" s="111"/>
      <x:c r="G18" s="92"/>
      <x:c r="H18" s="92"/>
      <x:c r="I18" s="92"/>
      <x:c r="J18" s="92"/>
      <x:c r="K18" s="92"/>
      <x:c r="L18" s="92"/>
      <x:c r="M18" s="92"/>
      <x:c r="N18" s="92"/>
      <x:c r="O18" s="92"/>
      <x:c r="P18" s="92"/>
    </x:row>
    <x:row r="19">
      <x:c r="A19" s="111"/>
      <x:c r="B19" s="111"/>
      <x:c r="C19" s="111"/>
      <x:c r="D19" s="111"/>
      <x:c r="E19" s="111"/>
      <x:c r="F19" s="111"/>
      <x:c r="G19" s="111"/>
      <x:c r="H19" s="111"/>
      <x:c r="I19" s="111"/>
      <x:c r="J19" s="111"/>
      <x:c r="K19" s="111"/>
      <x:c r="L19" s="111"/>
      <x:c r="M19" s="111"/>
      <x:c r="N19" s="111"/>
      <x:c r="O19" s="111"/>
      <x:c r="P19" s="111"/>
    </x:row>
    <x:row r="20" ht="30" customHeight="1">
      <x:c r="A20" s="24" t="str">
        <x:v>Category</x:v>
      </x:c>
      <x:c r="B20" s="24" t="str">
        <x:v>Placements</x:v>
      </x:c>
      <x:c r="C20" s="111"/>
      <x:c r="D20" s="24" t="str">
        <x:v>Paper cluster</x:v>
      </x:c>
      <x:c r="E20" s="24" t="str">
        <x:v>Placements</x:v>
      </x:c>
      <x:c r="F20" s="24" t="str">
        <x:v>Distinct</x:v>
      </x:c>
      <x:c r="G20" s="24" t="str">
        <x:v>Strongest evidence</x:v>
      </x:c>
      <x:c r="H20" s="24" t="str">
        <x:v>Dossier tier</x:v>
      </x:c>
      <x:c r="I20" s="111"/>
      <x:c r="J20" s="111"/>
      <x:c r="K20" s="111"/>
      <x:c r="L20" s="111"/>
      <x:c r="M20" s="111"/>
      <x:c r="N20" s="111"/>
      <x:c r="O20" s="111"/>
      <x:c r="P20" s="111"/>
    </x:row>
    <x:row r="21" ht="36" customHeight="1">
      <x:c r="A21" s="118" t="str">
        <x:v>Independent / practitioner</x:v>
      </x:c>
      <x:c r="B21" s="119" t="n">
        <x:f>COUNTIF('Verified Coverage'!$G$5:$G$100,"A")+COUNTIF('Verified Coverage'!$G$5:$G$100,"B")</x:f>
        <x:v>9</x:v>
      </x:c>
      <x:c r="C21" s="111"/>
      <x:c r="D21" s="32" t="str">
        <x:v>GDPR / Regulating Data</x:v>
      </x:c>
      <x:c r="E21" s="32" t="n">
        <x:f>'Paper Audit'!J13</x:f>
        <x:v>7</x:v>
      </x:c>
      <x:c r="F21" s="32" t="n">
        <x:v>3</x:v>
      </x:c>
      <x:c r="G21" s="32" t="str">
        <x:v>Accounting Today + privacy-industry use</x:v>
      </x:c>
      <x:c r="H21" s="32" t="str">
        <x:v>Tier 2 + reach</x:v>
      </x:c>
      <x:c r="I21" s="111"/>
      <x:c r="J21" s="111"/>
      <x:c r="K21" s="111"/>
      <x:c r="L21" s="111"/>
      <x:c r="M21" s="111"/>
      <x:c r="N21" s="111"/>
      <x:c r="O21" s="111"/>
      <x:c r="P21" s="111"/>
    </x:row>
    <x:row r="22" ht="36" customHeight="1">
      <x:c r="A22" s="118" t="str">
        <x:v>Institutional translation</x:v>
      </x:c>
      <x:c r="B22" s="119" t="n">
        <x:f>COUNTIF('Verified Coverage'!$G$5:$G$100,"C")</x:f>
        <x:v>4</x:v>
      </x:c>
      <x:c r="C22" s="111"/>
      <x:c r="D22" s="32" t="str">
        <x:v>MiFID II unbundling</x:v>
      </x:c>
      <x:c r="E22" s="32" t="n">
        <x:f>'Paper Audit'!J14</x:f>
        <x:v>5</x:v>
      </x:c>
      <x:c r="F22" s="32" t="n">
        <x:v>5</x:v>
      </x:c>
      <x:c r="G22" s="32" t="str">
        <x:v>SEC + ESMA citations</x:v>
      </x:c>
      <x:c r="H22" s="32" t="str">
        <x:v>Tier 1</x:v>
      </x:c>
      <x:c r="I22" s="111"/>
      <x:c r="J22" s="111"/>
      <x:c r="K22" s="111"/>
      <x:c r="L22" s="111"/>
      <x:c r="M22" s="111"/>
      <x:c r="N22" s="111"/>
      <x:c r="O22" s="111"/>
      <x:c r="P22" s="111"/>
    </x:row>
    <x:row r="23" ht="36" customHeight="1">
      <x:c r="A23" s="118" t="str">
        <x:v>Policy / regulatory</x:v>
      </x:c>
      <x:c r="B23" s="119" t="n">
        <x:f>COUNTIF('Verified Coverage'!$G$5:$G$100,"D")</x:f>
        <x:v>4</x:v>
      </x:c>
      <x:c r="C23" s="111"/>
      <x:c r="D23" s="32" t="str">
        <x:v>IPO / employee satisfaction</x:v>
      </x:c>
      <x:c r="E23" s="32" t="n">
        <x:f>'Paper Audit'!J12</x:f>
        <x:v>5</x:v>
      </x:c>
      <x:c r="F23" s="32" t="n">
        <x:v>4</x:v>
      </x:c>
      <x:c r="G23" s="32" t="str">
        <x:v>TheCorporateCounsel.net + CLS</x:v>
      </x:c>
      <x:c r="H23" s="32" t="str">
        <x:v>Tier 2</x:v>
      </x:c>
      <x:c r="I23" s="111"/>
      <x:c r="J23" s="111"/>
      <x:c r="K23" s="111"/>
      <x:c r="L23" s="111"/>
      <x:c r="M23" s="111"/>
      <x:c r="N23" s="111"/>
      <x:c r="O23" s="111"/>
      <x:c r="P23" s="111"/>
    </x:row>
    <x:row r="24" ht="36" customHeight="1">
      <x:c r="A24" s="118" t="str">
        <x:v>Syndication / mirror</x:v>
      </x:c>
      <x:c r="B24" s="119" t="n">
        <x:f>COUNTIF('Verified Coverage'!$G$5:$G$100,"E")</x:f>
        <x:v>5</x:v>
      </x:c>
      <x:c r="C24" s="111"/>
      <x:c r="D24" s="32" t="str">
        <x:v>JOBS Act / mandatory disclosure</x:v>
      </x:c>
      <x:c r="E24" s="32" t="n">
        <x:f>'Paper Audit'!J15</x:f>
        <x:v>2</x:v>
      </x:c>
      <x:c r="F24" s="32" t="n">
        <x:v>2</x:v>
      </x:c>
      <x:c r="G24" s="32" t="str">
        <x:v>National Affairs + Portuguese accounting blog</x:v>
      </x:c>
      <x:c r="H24" s="32" t="str">
        <x:v>Tier 2</x:v>
      </x:c>
      <x:c r="I24" s="111"/>
      <x:c r="J24" s="111"/>
      <x:c r="K24" s="111"/>
      <x:c r="L24" s="111"/>
      <x:c r="M24" s="111"/>
      <x:c r="N24" s="111"/>
      <x:c r="O24" s="111"/>
      <x:c r="P24" s="111"/>
    </x:row>
    <x:row r="25" ht="36" customHeight="1">
      <x:c r="A25" s="120" t="str">
        <x:v>Total</x:v>
      </x:c>
      <x:c r="B25" s="121" t="n">
        <x:f>SUM(B21:B24)</x:f>
        <x:v>22</x:v>
      </x:c>
      <x:c r="C25" s="111"/>
      <x:c r="D25" s="32" t="str">
        <x:v>Employee NDAs</x:v>
      </x:c>
      <x:c r="E25" s="32" t="n">
        <x:f>'Paper Audit'!J9</x:f>
        <x:v>1</x:v>
      </x:c>
      <x:c r="F25" s="32" t="n">
        <x:v>1</x:v>
      </x:c>
      <x:c r="G25" s="32" t="str">
        <x:v>Policy-facing article</x:v>
      </x:c>
      <x:c r="H25" s="32" t="str">
        <x:v>Tier 3</x:v>
      </x:c>
      <x:c r="I25" s="111"/>
      <x:c r="J25" s="111"/>
      <x:c r="K25" s="111"/>
      <x:c r="L25" s="111"/>
      <x:c r="M25" s="111"/>
      <x:c r="N25" s="111"/>
      <x:c r="O25" s="111"/>
      <x:c r="P25" s="111"/>
    </x:row>
    <x:row r="26" ht="36" customHeight="1">
      <x:c r="A26" s="111"/>
      <x:c r="B26" s="111"/>
      <x:c r="C26" s="111"/>
      <x:c r="D26" s="32" t="str">
        <x:v>SEC reporting changes</x:v>
      </x:c>
      <x:c r="E26" s="32" t="n">
        <x:f>'Paper Audit'!J11</x:f>
        <x:v>1</x:v>
      </x:c>
      <x:c r="F26" s="32" t="n">
        <x:v>1</x:v>
      </x:c>
      <x:c r="G26" s="32" t="str">
        <x:v>Japanese explainer (quality caveat)</x:v>
      </x:c>
      <x:c r="H26" s="32" t="str">
        <x:v>Tier 3</x:v>
      </x:c>
      <x:c r="I26" s="111"/>
      <x:c r="J26" s="111"/>
      <x:c r="K26" s="111"/>
      <x:c r="L26" s="111"/>
      <x:c r="M26" s="111"/>
      <x:c r="N26" s="111"/>
      <x:c r="O26" s="111"/>
      <x:c r="P26" s="111"/>
    </x:row>
    <x:row r="27" ht="36" customHeight="1">
      <x:c r="A27" s="111"/>
      <x:c r="B27" s="111"/>
      <x:c r="C27" s="111"/>
      <x:c r="D27" s="32" t="str">
        <x:v>Short selling / negative press</x:v>
      </x:c>
      <x:c r="E27" s="32" t="n">
        <x:f>'Paper Audit'!J16</x:f>
        <x:v>1</x:v>
      </x:c>
      <x:c r="F27" s="32" t="n">
        <x:v>1</x:v>
      </x:c>
      <x:c r="G27" s="32" t="str">
        <x:v>Kenan Institute translation</x:v>
      </x:c>
      <x:c r="H27" s="32" t="str">
        <x:v>Tier 3</x:v>
      </x:c>
      <x:c r="I27" s="111"/>
      <x:c r="J27" s="111"/>
      <x:c r="K27" s="111"/>
      <x:c r="L27" s="111"/>
      <x:c r="M27" s="111"/>
      <x:c r="N27" s="111"/>
      <x:c r="O27" s="111"/>
      <x:c r="P27" s="111"/>
    </x:row>
    <x:row r="28">
      <x:c r="A28" s="111"/>
      <x:c r="B28" s="111"/>
      <x:c r="C28" s="111"/>
      <x:c r="D28" s="111"/>
      <x:c r="E28" s="111"/>
      <x:c r="F28" s="111"/>
      <x:c r="G28" s="111"/>
      <x:c r="H28" s="111"/>
      <x:c r="I28" s="111"/>
      <x:c r="J28" s="111"/>
      <x:c r="K28" s="111"/>
      <x:c r="L28" s="111"/>
      <x:c r="M28" s="111"/>
      <x:c r="N28" s="111"/>
      <x:c r="O28" s="111"/>
      <x:c r="P28" s="111"/>
    </x:row>
    <x:row r="29">
      <x:c r="A29" s="137" t="str">
        <x:v>Counting rule: 22 placements = 17 distinct narratives. Syndicated copies are preserved as reach evidence but are never counted as independent stories.</x:v>
      </x:c>
      <x:c r="B29" s="137"/>
      <x:c r="C29" s="137"/>
      <x:c r="D29" s="137"/>
      <x:c r="E29" s="137"/>
      <x:c r="F29" s="137"/>
      <x:c r="G29" s="137"/>
      <x:c r="H29" s="137"/>
      <x:c r="I29" s="137"/>
      <x:c r="J29" s="137"/>
      <x:c r="K29" s="137"/>
      <x:c r="L29" s="137"/>
      <x:c r="M29" s="137"/>
      <x:c r="N29" s="137"/>
      <x:c r="O29" s="137"/>
      <x:c r="P29" s="137"/>
    </x:row>
    <x:row r="30">
      <x:c r="A30" s="111"/>
      <x:c r="B30" s="111"/>
      <x:c r="C30" s="111"/>
      <x:c r="D30" s="111"/>
      <x:c r="E30" s="111"/>
      <x:c r="F30" s="111"/>
      <x:c r="G30" s="111"/>
      <x:c r="H30" s="111"/>
      <x:c r="I30" s="111"/>
      <x:c r="J30" s="111"/>
      <x:c r="K30" s="111"/>
      <x:c r="L30" s="111"/>
      <x:c r="M30" s="111"/>
      <x:c r="N30" s="111"/>
      <x:c r="O30" s="111"/>
      <x:c r="P30" s="111"/>
    </x:row>
  </x:sheetData>
  <x:mergeCells>
    <x:mergeCell ref="A1:P1"/>
    <x:mergeCell ref="A2:P2"/>
    <x:mergeCell ref="A4:B4"/>
    <x:mergeCell ref="A5:B7"/>
    <x:mergeCell ref="D4:E4"/>
    <x:mergeCell ref="D5:E7"/>
    <x:mergeCell ref="G4:H4"/>
    <x:mergeCell ref="G5:H7"/>
    <x:mergeCell ref="A9:B9"/>
    <x:mergeCell ref="A10:B12"/>
    <x:mergeCell ref="D9:E9"/>
    <x:mergeCell ref="D10:E12"/>
    <x:mergeCell ref="G9:H9"/>
    <x:mergeCell ref="G10:H12"/>
    <x:mergeCell ref="A14:B14"/>
    <x:mergeCell ref="A15:B17"/>
    <x:mergeCell ref="D14:E14"/>
    <x:mergeCell ref="D15:E17"/>
    <x:mergeCell ref="G14:P14"/>
    <x:mergeCell ref="G15:P18"/>
    <x:mergeCell ref="A29:P29"/>
  </x:mergeCells>
  <x:pageMargins left="0.7" right="0.7" top="0.75" bottom="0.75" header="0.3" footer="0.3"/>
  <x:drawing xmlns:r="http://schemas.openxmlformats.org/officeDocument/2006/relationships" r:id="R43cda7afd4be4dc6"/>
</x:worksheet>
</file>

<file path=xl/worksheets/sheet2.xml><?xml version="1.0" encoding="utf-8"?>
<x:worksheet xmlns:x="http://schemas.openxmlformats.org/spreadsheetml/2006/main">
  <x:sheetFormatPr defaultRowHeight="15"/>
  <x:cols>
    <x:col min="1" max="1" width="11" hidden="0" customWidth="1"/>
    <x:col min="2" max="2" width="8" hidden="0" customWidth="1"/>
    <x:col min="3" max="3" width="34" hidden="0" customWidth="1"/>
    <x:col min="4" max="4" width="13" hidden="0" customWidth="1"/>
    <x:col min="5" max="5" width="25" hidden="0" customWidth="1"/>
    <x:col min="6" max="6" width="35" hidden="0" customWidth="1"/>
    <x:col min="7" max="7" width="8" hidden="0" customWidth="1"/>
    <x:col min="8" max="8" width="25" hidden="0" customWidth="1"/>
    <x:col min="9" max="9" width="24" hidden="0" customWidth="1"/>
    <x:col min="10" max="10" width="22" hidden="0" customWidth="1"/>
    <x:col min="11" max="11" width="18" hidden="0" customWidth="1"/>
    <x:col min="12" max="12" width="12" hidden="0" customWidth="1"/>
    <x:col min="13" max="13" width="14" hidden="0" customWidth="1"/>
    <x:col min="14" max="14" width="22" hidden="0" customWidth="1"/>
    <x:col min="15" max="15" width="42" hidden="0" customWidth="1"/>
    <x:col min="16" max="16" width="42" hidden="0" customWidth="1"/>
    <x:col min="17" max="17" width="13" hidden="0" customWidth="1"/>
    <x:col min="18" max="18" width="42" hidden="0" customWidth="1"/>
  </x:cols>
  <x:sheetData>
    <x:row r="1" ht="34" customHeight="1">
      <x:c r="A1" s="5" t="str">
        <x:v>Verified Media, Practitioner, Institutional, and Policy Coverage</x:v>
      </x:c>
      <x:c r="B1" s="5"/>
      <x:c r="C1" s="5"/>
      <x:c r="D1" s="5"/>
      <x:c r="E1" s="5"/>
      <x:c r="F1" s="5"/>
      <x:c r="G1" s="5"/>
      <x:c r="H1" s="5"/>
      <x:c r="I1" s="5"/>
      <x:c r="J1" s="5"/>
      <x:c r="K1" s="5"/>
      <x:c r="L1" s="5"/>
      <x:c r="M1" s="5"/>
      <x:c r="N1" s="5"/>
      <x:c r="O1" s="5"/>
      <x:c r="P1" s="5"/>
      <x:c r="Q1" s="5"/>
      <x:c r="R1" s="5"/>
    </x:row>
    <x:row r="2" ht="28" customHeight="1">
      <x:c r="A2" s="14" t="str">
        <x:v>Public-web audit through August 16, 2026. Each row is a verified placement; the Unique Narrative flag prevents syndicated copies from being mistaken for separate editorial stories.</x:v>
      </x:c>
      <x:c r="B2" s="14"/>
      <x:c r="C2" s="14"/>
      <x:c r="D2" s="14"/>
      <x:c r="E2" s="14"/>
      <x:c r="F2" s="14"/>
      <x:c r="G2" s="14"/>
      <x:c r="H2" s="14"/>
      <x:c r="I2" s="14"/>
      <x:c r="J2" s="14"/>
      <x:c r="K2" s="14"/>
      <x:c r="L2" s="14"/>
      <x:c r="M2" s="14"/>
      <x:c r="N2" s="14"/>
      <x:c r="O2" s="14"/>
      <x:c r="P2" s="14"/>
      <x:c r="Q2" s="14"/>
      <x:c r="R2" s="14"/>
    </x:row>
    <x:row r="4" ht="30" customHeight="1">
      <x:c r="A4" s="24" t="str">
        <x:v>ID</x:v>
      </x:c>
      <x:c r="B4" s="24" t="str">
        <x:v>Paper #</x:v>
      </x:c>
      <x:c r="C4" s="24" t="str">
        <x:v>Paper</x:v>
      </x:c>
      <x:c r="D4" s="24" t="str">
        <x:v>Date</x:v>
      </x:c>
      <x:c r="E4" s="24" t="str">
        <x:v>Outlet</x:v>
      </x:c>
      <x:c r="F4" s="24" t="str">
        <x:v>Coverage item</x:v>
      </x:c>
      <x:c r="G4" s="24" t="str">
        <x:v>Code</x:v>
      </x:c>
      <x:c r="H4" s="24" t="str">
        <x:v>Category</x:v>
      </x:c>
      <x:c r="I4" s="24" t="str">
        <x:v>Independence</x:v>
      </x:c>
      <x:c r="J4" s="24" t="str">
        <x:v>Placement type</x:v>
      </x:c>
      <x:c r="K4" s="24" t="str">
        <x:v>Narrative ID</x:v>
      </x:c>
      <x:c r="L4" s="24" t="str">
        <x:v>Unique narrative</x:v>
      </x:c>
      <x:c r="M4" s="24" t="str">
        <x:v>Promotion value</x:v>
      </x:c>
      <x:c r="N4" s="24" t="str">
        <x:v>Verification</x:v>
      </x:c>
      <x:c r="O4" s="24" t="str">
        <x:v>Evidence / relevance</x:v>
      </x:c>
      <x:c r="P4" s="24" t="str">
        <x:v>Source URL</x:v>
      </x:c>
      <x:c r="Q4" s="24" t="str">
        <x:v>Accessed</x:v>
      </x:c>
      <x:c r="R4" s="24" t="str">
        <x:v>Caveat / note</x:v>
      </x:c>
    </x:row>
    <x:row r="5" ht="64" customHeight="1">
      <x:c r="A5" s="32" t="str">
        <x:v>COV-001</x:v>
      </x:c>
      <x:c r="B5" s="32" t="n">
        <x:v>5</x:v>
      </x:c>
      <x:c r="C5" s="32" t="str">
        <x:v>Employee Non-Disclosure Agreements and Corporate News</x:v>
      </x:c>
      <x:c r="D5" s="32" t="str">
        <x:v>2026-07-27</x:v>
      </x:c>
      <x:c r="E5" s="32" t="str">
        <x:v>Public Administration Policy</x:v>
      </x:c>
      <x:c r="F5" s="32" t="str">
        <x:v>Federal Worker NDAs: Transparency vs Security &amp; Legal Risks</x:v>
      </x:c>
      <x:c r="G5" s="32" t="str">
        <x:v>B</x:v>
      </x:c>
      <x:c r="H5" s="32" t="str">
        <x:v>Practitioner / policy-facing editorial</x:v>
      </x:c>
      <x:c r="I5" s="32" t="str">
        <x:v>Independent practitioner article</x:v>
      </x:c>
      <x:c r="J5" s="32" t="str">
        <x:v>Direct discussion</x:v>
      </x:c>
      <x:c r="K5" s="32" t="str">
        <x:v>NDA-PAP</x:v>
      </x:c>
      <x:c r="L5" s="32" t="n">
        <x:v>1</x:v>
      </x:c>
      <x:c r="M5" s="32" t="str">
        <x:v>Medium</x:v>
      </x:c>
      <x:c r="N5" s="32" t="str">
        <x:v>Direct page inspected</x:v>
      </x:c>
      <x:c r="O5" s="32" t="str">
        <x:v>Uses Holstead, Huang &amp; Pinto to argue that corporate NDAs can impede the transmission of negative news to markets.</x:v>
      </x:c>
      <x:c r="P5" s="36" t="str">
        <x:v>https://publicadministrationpolicy.org/articles/federal-worker-ndas-2026-07-26/</x:v>
      </x:c>
      <x:c r="Q5" s="32" t="str">
        <x:v>2026-08-16</x:v>
      </x:c>
      <x:c r="R5" s="32" t="str">
        <x:v>The outlet's authority appears limited; cite selectively and preserve the article's exact wording.</x:v>
      </x:c>
    </x:row>
    <x:row r="6" ht="64" customHeight="1">
      <x:c r="A6" s="32" t="str">
        <x:v>COV-002</x:v>
      </x:c>
      <x:c r="B6" s="32" t="n">
        <x:v>7</x:v>
      </x:c>
      <x:c r="C6" s="32" t="str">
        <x:v>The Impact of SEC Reporting Changes on Information Acquisition and Market Dynamics</x:v>
      </x:c>
      <x:c r="D6" s="32" t="str">
        <x:v>2025-10-03</x:v>
      </x:c>
      <x:c r="E6" s="32" t="str">
        <x:v>TOITOI Blog</x:v>
      </x:c>
      <x:c r="F6" s="32" t="str">
        <x:v>〖論文解説〗SEC報告変更が外国株投資に与える影響は？IFRS企業とADR市場の実証分析</x:v>
      </x:c>
      <x:c r="G6" s="32" t="str">
        <x:v>B</x:v>
      </x:c>
      <x:c r="H6" s="32" t="str">
        <x:v>Practitioner / policy-facing editorial</x:v>
      </x:c>
      <x:c r="I6" s="32" t="str">
        <x:v>Independent explainer; authorship model unclear</x:v>
      </x:c>
      <x:c r="J6" s="32" t="str">
        <x:v>Direct paper explainer</x:v>
      </x:c>
      <x:c r="K6" s="32" t="str">
        <x:v>SEC-TOITOI</x:v>
      </x:c>
      <x:c r="L6" s="32" t="n">
        <x:v>1</x:v>
      </x:c>
      <x:c r="M6" s="32" t="str">
        <x:v>Low</x:v>
      </x:c>
      <x:c r="N6" s="32" t="str">
        <x:v>Direct page inspected</x:v>
      </x:c>
      <x:c r="O6" s="32" t="str">
        <x:v>Directly identifies and explains the paper for Japanese retail/investment readers.</x:v>
      </x:c>
      <x:c r="P6" s="36" t="str">
        <x:v>https://toitoi-blog.com/sec-reporting-changes/</x:v>
      </x:c>
      <x:c r="Q6" s="32" t="str">
        <x:v>2026-08-16</x:v>
      </x:c>
      <x:c r="R6" s="32" t="str">
        <x:v>Several methodology details appear inconsistent with the paper. Count as a placement, but do not foreground it in a promotion narrative.</x:v>
      </x:c>
    </x:row>
    <x:row r="7" ht="64" customHeight="1">
      <x:c r="A7" s="32" t="str">
        <x:v>COV-003</x:v>
      </x:c>
      <x:c r="B7" s="32" t="n">
        <x:v>8</x:v>
      </x:c>
      <x:c r="C7" s="32" t="str">
        <x:v>How Does Going Public Affect Employee Satisfaction? Evidence from Glassdoor Reviews</x:v>
      </x:c>
      <x:c r="D7" s="32" t="str">
        <x:v>2026-07-08</x:v>
      </x:c>
      <x:c r="E7" s="32" t="str">
        <x:v>UT Dallas Jindal School News</x:v>
      </x:c>
      <x:c r="F7" s="32" t="str">
        <x:v>Employee Satisfaction Declines After IPOs, Study Finds</x:v>
      </x:c>
      <x:c r="G7" s="32" t="str">
        <x:v>C</x:v>
      </x:c>
      <x:c r="H7" s="32" t="str">
        <x:v>Institutional press / research translation</x:v>
      </x:c>
      <x:c r="I7" s="32" t="str">
        <x:v>University-authored</x:v>
      </x:c>
      <x:c r="J7" s="32" t="str">
        <x:v>Institutional news story</x:v>
      </x:c>
      <x:c r="K7" s="32" t="str">
        <x:v>IPO-UTD</x:v>
      </x:c>
      <x:c r="L7" s="32" t="n">
        <x:v>1</x:v>
      </x:c>
      <x:c r="M7" s="32" t="str">
        <x:v>Medium</x:v>
      </x:c>
      <x:c r="N7" s="32" t="str">
        <x:v>Direct page verified</x:v>
      </x:c>
      <x:c r="O7" s="32" t="str">
        <x:v>University research story presenting the paper's central employee-satisfaction result and managerial implications.</x:v>
      </x:c>
      <x:c r="P7" s="36" t="str">
        <x:v>https://jindal.utdallas.edu/news/study-from-jindal-school-researcher-finds-employee-satisfaction-declines-after-companies-go-public/</x:v>
      </x:c>
      <x:c r="Q7" s="32" t="str">
        <x:v>2026-08-16</x:v>
      </x:c>
      <x:c r="R7" s="32" t="str">
        <x:v>Institutional coverage—not independent journalism—but highly usable as a public-facing research translation.</x:v>
      </x:c>
    </x:row>
    <x:row r="8" ht="64" customHeight="1">
      <x:c r="A8" s="32" t="str">
        <x:v>COV-004</x:v>
      </x:c>
      <x:c r="B8" s="32" t="n">
        <x:v>8</x:v>
      </x:c>
      <x:c r="C8" s="32" t="str">
        <x:v>How Does Going Public Affect Employee Satisfaction? Evidence from Glassdoor Reviews</x:v>
      </x:c>
      <x:c r="D8" s="32" t="str">
        <x:v>2025-10-08</x:v>
      </x:c>
      <x:c r="E8" s="32" t="str">
        <x:v>CLS Blue Sky Blog</x:v>
      </x:c>
      <x:c r="F8" s="32" t="str">
        <x:v>The Hidden Cost of Going Public: Why Employees Become Less Happy After IPOs</x:v>
      </x:c>
      <x:c r="G8" s="32" t="str">
        <x:v>B</x:v>
      </x:c>
      <x:c r="H8" s="32" t="str">
        <x:v>Practitioner / policy-facing editorial</x:v>
      </x:c>
      <x:c r="I8" s="32" t="str">
        <x:v>Author-written; outlet-hosted</x:v>
      </x:c>
      <x:c r="J8" s="32" t="str">
        <x:v>Practitioner research translation</x:v>
      </x:c>
      <x:c r="K8" s="32" t="str">
        <x:v>IPO-CLS</x:v>
      </x:c>
      <x:c r="L8" s="32" t="n">
        <x:v>1</x:v>
      </x:c>
      <x:c r="M8" s="32" t="str">
        <x:v>High</x:v>
      </x:c>
      <x:c r="N8" s="32" t="str">
        <x:v>Direct page verified</x:v>
      </x:c>
      <x:c r="O8" s="32" t="str">
        <x:v>Substantive legal/corporate-governance translation of the paper for a practitioner and policy audience.</x:v>
      </x:c>
      <x:c r="P8" s="36" t="str">
        <x:v>https://clsbluesky.law.columbia.edu/2025/10/08/the-hidden-cost-of-going-public-why-employees-become-less-happy-after-ipos/</x:v>
      </x:c>
      <x:c r="Q8" s="32" t="str">
        <x:v>2026-08-16</x:v>
      </x:c>
      <x:c r="R8" s="32" t="str">
        <x:v>Strong outlet, but the post is author-written rather than independent reporting.</x:v>
      </x:c>
    </x:row>
    <x:row r="9" ht="64" customHeight="1">
      <x:c r="A9" s="32" t="str">
        <x:v>COV-005</x:v>
      </x:c>
      <x:c r="B9" s="32" t="n">
        <x:v>8</x:v>
      </x:c>
      <x:c r="C9" s="32" t="str">
        <x:v>How Does Going Public Affect Employee Satisfaction? Evidence from Glassdoor Reviews</x:v>
      </x:c>
      <x:c r="D9" s="32" t="str">
        <x:v>2025-10-10</x:v>
      </x:c>
      <x:c r="E9" s="32" t="str">
        <x:v>TheCorporateCounsel.net</x:v>
      </x:c>
      <x:c r="F9" s="32" t="str">
        <x:v>Planning an IPO? What a Bummer…</x:v>
      </x:c>
      <x:c r="G9" s="32" t="str">
        <x:v>B</x:v>
      </x:c>
      <x:c r="H9" s="32" t="str">
        <x:v>Practitioner / policy-facing editorial</x:v>
      </x:c>
      <x:c r="I9" s="32" t="str">
        <x:v>Independent practitioner commentary</x:v>
      </x:c>
      <x:c r="J9" s="32" t="str">
        <x:v>Independent discussion</x:v>
      </x:c>
      <x:c r="K9" s="32" t="str">
        <x:v>IPO-CORPCOUNSEL</x:v>
      </x:c>
      <x:c r="L9" s="32" t="n">
        <x:v>1</x:v>
      </x:c>
      <x:c r="M9" s="32" t="str">
        <x:v>High</x:v>
      </x:c>
      <x:c r="N9" s="32" t="str">
        <x:v>Direct page verified</x:v>
      </x:c>
      <x:c r="O9" s="32" t="str">
        <x:v>Independent practitioner commentary discussing the paper's finding that employee satisfaction falls after IPOs.</x:v>
      </x:c>
      <x:c r="P9" s="36" t="str">
        <x:v>https://www.thecorporatecounsel.net/blog/2025/10/planning-an-ipo-what-a-bummer.html</x:v>
      </x:c>
      <x:c r="Q9" s="32" t="str">
        <x:v>2026-08-16</x:v>
      </x:c>
      <x:c r="R9" s="32" t="str">
        <x:v>One of the strongest genuinely independent practitioner placements in the audit.</x:v>
      </x:c>
    </x:row>
    <x:row r="10" ht="64" customHeight="1">
      <x:c r="A10" s="32" t="str">
        <x:v>COV-006</x:v>
      </x:c>
      <x:c r="B10" s="32" t="n">
        <x:v>8</x:v>
      </x:c>
      <x:c r="C10" s="32" t="str">
        <x:v>How Does Going Public Affect Employee Satisfaction? Evidence from Glassdoor Reviews</x:v>
      </x:c>
      <x:c r="D10" s="32" t="str">
        <x:v>2025-12-04</x:v>
      </x:c>
      <x:c r="E10" s="32" t="str">
        <x:v>National Affairs — Findings</x:v>
      </x:c>
      <x:c r="F10" s="32" t="str">
        <x:v>Incorporating Feedback</x:v>
      </x:c>
      <x:c r="G10" s="32" t="str">
        <x:v>B</x:v>
      </x:c>
      <x:c r="H10" s="32" t="str">
        <x:v>Practitioner / policy-facing editorial</x:v>
      </x:c>
      <x:c r="I10" s="32" t="str">
        <x:v>Independent curated research roundup</x:v>
      </x:c>
      <x:c r="J10" s="32" t="str">
        <x:v>Research roundup</x:v>
      </x:c>
      <x:c r="K10" s="32" t="str">
        <x:v>IPO-NATAFFAIRS</x:v>
      </x:c>
      <x:c r="L10" s="32" t="n">
        <x:v>1</x:v>
      </x:c>
      <x:c r="M10" s="32" t="str">
        <x:v>Medium</x:v>
      </x:c>
      <x:c r="N10" s="32" t="str">
        <x:v>Direct page verified</x:v>
      </x:c>
      <x:c r="O10" s="32" t="str">
        <x:v>Selects and summarizes the IPO/employee-satisfaction paper in a curated research roundup.</x:v>
      </x:c>
      <x:c r="P10" s="36" t="str">
        <x:v>https://www.nationalaffairs.com/blog/detail/findings-a-daily-roundup/incorporating-feedback</x:v>
      </x:c>
      <x:c r="Q10" s="32" t="str">
        <x:v>2026-08-16</x:v>
      </x:c>
      <x:c r="R10" s="32" t="str">
        <x:v>Brief treatment, but independently selected and therefore useful corroborating reach.</x:v>
      </x:c>
    </x:row>
    <x:row r="11" ht="64" customHeight="1">
      <x:c r="A11" s="32" t="str">
        <x:v>COV-007</x:v>
      </x:c>
      <x:c r="B11" s="32" t="n">
        <x:v>8</x:v>
      </x:c>
      <x:c r="C11" s="32" t="str">
        <x:v>How Does Going Public Affect Employee Satisfaction? Evidence from Glassdoor Reviews</x:v>
      </x:c>
      <x:c r="D11" s="32" t="str">
        <x:v>2025-10-08</x:v>
      </x:c>
      <x:c r="E11" s="32" t="str">
        <x:v>American Legal Blogger</x:v>
      </x:c>
      <x:c r="F11" s="32" t="str">
        <x:v>The Hidden Cost of Going Public: Why Employees Become Less Happy After IPOs</x:v>
      </x:c>
      <x:c r="G11" s="32" t="str">
        <x:v>E</x:v>
      </x:c>
      <x:c r="H11" s="32" t="str">
        <x:v>Syndication / republication / mirror</x:v>
      </x:c>
      <x:c r="I11" s="32" t="str">
        <x:v>Mirror of CLS Blue Sky Blog</x:v>
      </x:c>
      <x:c r="J11" s="32" t="str">
        <x:v>Archive / mirror</x:v>
      </x:c>
      <x:c r="K11" s="32" t="str">
        <x:v>IPO-CLS</x:v>
      </x:c>
      <x:c r="L11" s="32" t="n">
        <x:v>0</x:v>
      </x:c>
      <x:c r="M11" s="32" t="str">
        <x:v>Low</x:v>
      </x:c>
      <x:c r="N11" s="32" t="str">
        <x:v>Direct archive page verified</x:v>
      </x:c>
      <x:c r="O11" s="32" t="str">
        <x:v>Mirrors or republishes the CLS Blue Sky Blog item.</x:v>
      </x:c>
      <x:c r="P11" s="36" t="str">
        <x:v>https://www.americanlegalblogger.com/site/the-cls-blue-sky-blog/page/20/</x:v>
      </x:c>
      <x:c r="Q11" s="32" t="str">
        <x:v>2026-08-16</x:v>
      </x:c>
      <x:c r="R11" s="32" t="str">
        <x:v>A placement, but not a unique editorial story. Do not count twice when describing distinct narratives.</x:v>
      </x:c>
    </x:row>
    <x:row r="12" ht="64" customHeight="1">
      <x:c r="A12" s="32" t="str">
        <x:v>COV-008</x:v>
      </x:c>
      <x:c r="B12" s="32" t="n">
        <x:v>9</x:v>
      </x:c>
      <x:c r="C12" s="32" t="str">
        <x:v>Regulating Data: Evidence from Corporate America</x:v>
      </x:c>
      <x:c r="D12" s="32" t="str">
        <x:v>2024-07-18</x:v>
      </x:c>
      <x:c r="E12" s="32" t="str">
        <x:v>Accounting Today</x:v>
      </x:c>
      <x:c r="F12" s="32" t="str">
        <x:v>Study finds GDPR reduced firm value but increased firm cybersecurity</x:v>
      </x:c>
      <x:c r="G12" s="32" t="str">
        <x:v>A</x:v>
      </x:c>
      <x:c r="H12" s="32" t="str">
        <x:v>Independent editorial / media</x:v>
      </x:c>
      <x:c r="I12" s="32" t="str">
        <x:v>Independent journalist</x:v>
      </x:c>
      <x:c r="J12" s="32" t="str">
        <x:v>News article</x:v>
      </x:c>
      <x:c r="K12" s="32" t="str">
        <x:v>GDPR-ACCTTODAY</x:v>
      </x:c>
      <x:c r="L12" s="32" t="n">
        <x:v>1</x:v>
      </x:c>
      <x:c r="M12" s="32" t="str">
        <x:v>High</x:v>
      </x:c>
      <x:c r="N12" s="32" t="str">
        <x:v>Direct page verified</x:v>
      </x:c>
      <x:c r="O12" s="32" t="str">
        <x:v>Independent accounting-industry news coverage of the paper's firm-value and cybersecurity findings.</x:v>
      </x:c>
      <x:c r="P12" s="36" t="str">
        <x:v>https://www.accountingtoday.com/news/study-finds-gdpr-reduced-firm-value-but-increased-firm-cybersecurity</x:v>
      </x:c>
      <x:c r="Q12" s="32" t="str">
        <x:v>2026-08-16</x:v>
      </x:c>
      <x:c r="R12" s="32" t="str">
        <x:v>The strongest conventional media placement identified.</x:v>
      </x:c>
    </x:row>
    <x:row r="13" ht="64" customHeight="1">
      <x:c r="A13" s="32" t="str">
        <x:v>COV-009</x:v>
      </x:c>
      <x:c r="B13" s="32" t="n">
        <x:v>9</x:v>
      </x:c>
      <x:c r="C13" s="32" t="str">
        <x:v>Regulating Data: Evidence from Corporate America</x:v>
      </x:c>
      <x:c r="D13" s="32" t="str">
        <x:v>2024-07-18</x:v>
      </x:c>
      <x:c r="E13" s="32" t="str">
        <x:v>University of East Anglia</x:v>
      </x:c>
      <x:c r="F13" s="32" t="str">
        <x:v>Data protection laws reduced breaches but affected firms’ value</x:v>
      </x:c>
      <x:c r="G13" s="32" t="str">
        <x:v>C</x:v>
      </x:c>
      <x:c r="H13" s="32" t="str">
        <x:v>Institutional press / research translation</x:v>
      </x:c>
      <x:c r="I13" s="32" t="str">
        <x:v>University press office</x:v>
      </x:c>
      <x:c r="J13" s="32" t="str">
        <x:v>Press release</x:v>
      </x:c>
      <x:c r="K13" s="32" t="str">
        <x:v>GDPR-UEA</x:v>
      </x:c>
      <x:c r="L13" s="32" t="n">
        <x:v>1</x:v>
      </x:c>
      <x:c r="M13" s="32" t="str">
        <x:v>Medium</x:v>
      </x:c>
      <x:c r="N13" s="32" t="str">
        <x:v>Direct page verified</x:v>
      </x:c>
      <x:c r="O13" s="32" t="str">
        <x:v>Originating institutional press release translating the GDPR findings for a general audience.</x:v>
      </x:c>
      <x:c r="P13" s="36" t="str">
        <x:v>https://www.uea.ac.uk/about/news/article/data-protection-laws-reduced-breaches-but-affected-firms-value</x:v>
      </x:c>
      <x:c r="Q13" s="32" t="str">
        <x:v>2026-08-16</x:v>
      </x:c>
      <x:c r="R13" s="32" t="str">
        <x:v>This appears to be the source narrative for four subsequent republications.</x:v>
      </x:c>
    </x:row>
    <x:row r="14" ht="64" customHeight="1">
      <x:c r="A14" s="32" t="str">
        <x:v>COV-010</x:v>
      </x:c>
      <x:c r="B14" s="32" t="n">
        <x:v>9</x:v>
      </x:c>
      <x:c r="C14" s="32" t="str">
        <x:v>Regulating Data: Evidence from Corporate America</x:v>
      </x:c>
      <x:c r="D14" s="32" t="str">
        <x:v>2024-07-17</x:v>
      </x:c>
      <x:c r="E14" s="32" t="str">
        <x:v>EurekAlert!</x:v>
      </x:c>
      <x:c r="F14" s="32" t="str">
        <x:v>Data protection laws reduced breaches but affected firms’ value</x:v>
      </x:c>
      <x:c r="G14" s="32" t="str">
        <x:v>E</x:v>
      </x:c>
      <x:c r="H14" s="32" t="str">
        <x:v>Syndication / republication / mirror</x:v>
      </x:c>
      <x:c r="I14" s="32" t="str">
        <x:v>Press-release distribution</x:v>
      </x:c>
      <x:c r="J14" s="32" t="str">
        <x:v>Press release republication</x:v>
      </x:c>
      <x:c r="K14" s="32" t="str">
        <x:v>GDPR-UEA</x:v>
      </x:c>
      <x:c r="L14" s="32" t="n">
        <x:v>0</x:v>
      </x:c>
      <x:c r="M14" s="32" t="str">
        <x:v>Low</x:v>
      </x:c>
      <x:c r="N14" s="32" t="str">
        <x:v>Direct page verified</x:v>
      </x:c>
      <x:c r="O14" s="32" t="str">
        <x:v>Distributes the UEA press-release narrative internationally.</x:v>
      </x:c>
      <x:c r="P14" s="36" t="str">
        <x:v>https://www.eurekalert.org/news-releases/1051661</x:v>
      </x:c>
      <x:c r="Q14" s="32" t="str">
        <x:v>2026-08-16</x:v>
      </x:c>
      <x:c r="R14" s="32" t="str">
        <x:v>Reach placement, not a distinct editorial treatment.</x:v>
      </x:c>
    </x:row>
    <x:row r="15" ht="64" customHeight="1">
      <x:c r="A15" s="32" t="str">
        <x:v>COV-011</x:v>
      </x:c>
      <x:c r="B15" s="32" t="n">
        <x:v>9</x:v>
      </x:c>
      <x:c r="C15" s="32" t="str">
        <x:v>Regulating Data: Evidence from Corporate America</x:v>
      </x:c>
      <x:c r="D15" s="32" t="str">
        <x:v>2024-07-17</x:v>
      </x:c>
      <x:c r="E15" s="32" t="str">
        <x:v>Tech Xplore</x:v>
      </x:c>
      <x:c r="F15" s="32" t="str">
        <x:v>Since 2018, data protection laws have reduced security breaches but affected firms' value</x:v>
      </x:c>
      <x:c r="G15" s="32" t="str">
        <x:v>E</x:v>
      </x:c>
      <x:c r="H15" s="32" t="str">
        <x:v>Syndication / republication / mirror</x:v>
      </x:c>
      <x:c r="I15" s="32" t="str">
        <x:v>Press-release republication</x:v>
      </x:c>
      <x:c r="J15" s="32" t="str">
        <x:v>Syndicated science-news item</x:v>
      </x:c>
      <x:c r="K15" s="32" t="str">
        <x:v>GDPR-UEA</x:v>
      </x:c>
      <x:c r="L15" s="32" t="n">
        <x:v>0</x:v>
      </x:c>
      <x:c r="M15" s="32" t="str">
        <x:v>Low</x:v>
      </x:c>
      <x:c r="N15" s="32" t="str">
        <x:v>Direct page verified</x:v>
      </x:c>
      <x:c r="O15" s="32" t="str">
        <x:v>Republishes the UEA research-news narrative.</x:v>
      </x:c>
      <x:c r="P15" s="36" t="str">
        <x:v>https://techxplore.com/news/2024-07-laws-breaches-affected-firms.html</x:v>
      </x:c>
      <x:c r="Q15" s="32" t="str">
        <x:v>2026-08-16</x:v>
      </x:c>
      <x:c r="R15" s="32" t="str">
        <x:v>Count as reach, not as an independent story.</x:v>
      </x:c>
    </x:row>
    <x:row r="16" ht="64" customHeight="1">
      <x:c r="A16" s="32" t="str">
        <x:v>COV-012</x:v>
      </x:c>
      <x:c r="B16" s="32" t="n">
        <x:v>9</x:v>
      </x:c>
      <x:c r="C16" s="32" t="str">
        <x:v>Regulating Data: Evidence from Corporate America</x:v>
      </x:c>
      <x:c r="D16" s="32" t="str">
        <x:v>2024-07-18</x:v>
      </x:c>
      <x:c r="E16" s="32" t="str">
        <x:v>Mirage News</x:v>
      </x:c>
      <x:c r="F16" s="32" t="str">
        <x:v>Data Laws Cut Breaches, Lower Firms' Value</x:v>
      </x:c>
      <x:c r="G16" s="32" t="str">
        <x:v>E</x:v>
      </x:c>
      <x:c r="H16" s="32" t="str">
        <x:v>Syndication / republication / mirror</x:v>
      </x:c>
      <x:c r="I16" s="32" t="str">
        <x:v>Press-release republication</x:v>
      </x:c>
      <x:c r="J16" s="32" t="str">
        <x:v>Syndicated news item</x:v>
      </x:c>
      <x:c r="K16" s="32" t="str">
        <x:v>GDPR-UEA</x:v>
      </x:c>
      <x:c r="L16" s="32" t="n">
        <x:v>0</x:v>
      </x:c>
      <x:c r="M16" s="32" t="str">
        <x:v>Low</x:v>
      </x:c>
      <x:c r="N16" s="32" t="str">
        <x:v>Direct page verified</x:v>
      </x:c>
      <x:c r="O16" s="32" t="str">
        <x:v>Republishes the same UEA press-release narrative.</x:v>
      </x:c>
      <x:c r="P16" s="36" t="str">
        <x:v>https://www.miragenews.com/data-laws-cut-breaches-lower-firms-value-1277903/</x:v>
      </x:c>
      <x:c r="Q16" s="32" t="str">
        <x:v>2026-08-16</x:v>
      </x:c>
      <x:c r="R16" s="32" t="str">
        <x:v>Count as reach, not a distinct editorial treatment.</x:v>
      </x:c>
    </x:row>
    <x:row r="17" ht="64" customHeight="1">
      <x:c r="A17" s="32" t="str">
        <x:v>COV-013</x:v>
      </x:c>
      <x:c r="B17" s="32" t="n">
        <x:v>9</x:v>
      </x:c>
      <x:c r="C17" s="32" t="str">
        <x:v>Regulating Data: Evidence from Corporate America</x:v>
      </x:c>
      <x:c r="D17" s="32" t="str">
        <x:v>2024-07-17</x:v>
      </x:c>
      <x:c r="E17" s="32" t="str">
        <x:v>Scienmag</x:v>
      </x:c>
      <x:c r="F17" s="32" t="str">
        <x:v>Data protection laws reduced breaches but affected firms’ value</x:v>
      </x:c>
      <x:c r="G17" s="32" t="str">
        <x:v>E</x:v>
      </x:c>
      <x:c r="H17" s="32" t="str">
        <x:v>Syndication / republication / mirror</x:v>
      </x:c>
      <x:c r="I17" s="32" t="str">
        <x:v>Press-release republication</x:v>
      </x:c>
      <x:c r="J17" s="32" t="str">
        <x:v>Syndicated science-news item</x:v>
      </x:c>
      <x:c r="K17" s="32" t="str">
        <x:v>GDPR-UEA</x:v>
      </x:c>
      <x:c r="L17" s="32" t="n">
        <x:v>0</x:v>
      </x:c>
      <x:c r="M17" s="32" t="str">
        <x:v>Low</x:v>
      </x:c>
      <x:c r="N17" s="32" t="str">
        <x:v>Direct page verified</x:v>
      </x:c>
      <x:c r="O17" s="32" t="str">
        <x:v>Republishes the UEA press-release narrative.</x:v>
      </x:c>
      <x:c r="P17" s="36" t="str">
        <x:v>https://scienmag.com/data-protection-laws-reduced-breaches-but-affected-firms-value/</x:v>
      </x:c>
      <x:c r="Q17" s="32" t="str">
        <x:v>2026-08-16</x:v>
      </x:c>
      <x:c r="R17" s="32" t="str">
        <x:v>Count as reach, not a distinct editorial treatment.</x:v>
      </x:c>
    </x:row>
    <x:row r="18" ht="64" customHeight="1">
      <x:c r="A18" s="32" t="str">
        <x:v>COV-014</x:v>
      </x:c>
      <x:c r="B18" s="32" t="n">
        <x:v>9</x:v>
      </x:c>
      <x:c r="C18" s="32" t="str">
        <x:v>Regulating Data: Evidence from Corporate America</x:v>
      </x:c>
      <x:c r="D18" s="32" t="str">
        <x:v>2026-03</x:v>
      </x:c>
      <x:c r="E18" s="32" t="str">
        <x:v>Passion for Privacy</x:v>
      </x:c>
      <x:c r="F18" s="32" t="str">
        <x:v>Privacy Rocks! The Manifesto — No. 5</x:v>
      </x:c>
      <x:c r="G18" s="32" t="str">
        <x:v>B</x:v>
      </x:c>
      <x:c r="H18" s="32" t="str">
        <x:v>Practitioner / policy-facing editorial</x:v>
      </x:c>
      <x:c r="I18" s="32" t="str">
        <x:v>Independent privacy-industry publication</x:v>
      </x:c>
      <x:c r="J18" s="32" t="str">
        <x:v>Substantive practitioner use</x:v>
      </x:c>
      <x:c r="K18" s="32" t="str">
        <x:v>GDPR-PASSION</x:v>
      </x:c>
      <x:c r="L18" s="32" t="n">
        <x:v>1</x:v>
      </x:c>
      <x:c r="M18" s="32" t="str">
        <x:v>High</x:v>
      </x:c>
      <x:c r="N18" s="32" t="str">
        <x:v>Landing page and PDF inspected</x:v>
      </x:c>
      <x:c r="O18" s="32" t="str">
        <x:v>Directly discusses Motoki &amp; Pinto and uses the paper's estimated breach-reduction benefits in a privacy-industry argument.</x:v>
      </x:c>
      <x:c r="P18" s="36" t="str">
        <x:v>https://www.passion-for-privacy.com/papers/005</x:v>
      </x:c>
      <x:c r="Q18" s="32" t="str">
        <x:v>2026-08-16</x:v>
      </x:c>
      <x:c r="R18" s="32" t="str">
        <x:v>Substantive practitioner use rather than conventional news coverage.</x:v>
      </x:c>
    </x:row>
    <x:row r="19" ht="64" customHeight="1">
      <x:c r="A19" s="32" t="str">
        <x:v>COV-015</x:v>
      </x:c>
      <x:c r="B19" s="32" t="n">
        <x:v>10</x:v>
      </x:c>
      <x:c r="C19" s="32" t="str">
        <x:v>MiFID II Unbundling and Sell-Side Analyst Research</x:v>
      </x:c>
      <x:c r="D19" s="32" t="str">
        <x:v>2019-06-21</x:v>
      </x:c>
      <x:c r="E19" s="32" t="str">
        <x:v>Kenan Institute of Private Enterprise</x:v>
      </x:c>
      <x:c r="F19" s="32" t="str">
        <x:v>MiFID II Unbundling and Sell-Side Analyst Research</x:v>
      </x:c>
      <x:c r="G19" s="32" t="str">
        <x:v>C</x:v>
      </x:c>
      <x:c r="H19" s="32" t="str">
        <x:v>Institutional press / research translation</x:v>
      </x:c>
      <x:c r="I19" s="32" t="str">
        <x:v>University research institute</x:v>
      </x:c>
      <x:c r="J19" s="32" t="str">
        <x:v>Research translation</x:v>
      </x:c>
      <x:c r="K19" s="32" t="str">
        <x:v>MIFID-KENAN</x:v>
      </x:c>
      <x:c r="L19" s="32" t="n">
        <x:v>1</x:v>
      </x:c>
      <x:c r="M19" s="32" t="str">
        <x:v>Medium</x:v>
      </x:c>
      <x:c r="N19" s="32" t="str">
        <x:v>Direct page verified</x:v>
      </x:c>
      <x:c r="O19" s="32" t="str">
        <x:v>Public-facing institutional summary of the paper and its implications for research unbundling.</x:v>
      </x:c>
      <x:c r="P19" s="36" t="str">
        <x:v>https://kenaninstitute.unc.edu/publication/mifid-ii-unbundling-and-sell-side-analyst-research/</x:v>
      </x:c>
      <x:c r="Q19" s="32" t="str">
        <x:v>2026-08-16</x:v>
      </x:c>
      <x:c r="R19" s="32" t="str">
        <x:v>Institutional translation; useful context for the later policy citations.</x:v>
      </x:c>
    </x:row>
    <x:row r="20" ht="64" customHeight="1">
      <x:c r="A20" s="32" t="str">
        <x:v>COV-016</x:v>
      </x:c>
      <x:c r="B20" s="32" t="n">
        <x:v>10</x:v>
      </x:c>
      <x:c r="C20" s="32" t="str">
        <x:v>MiFID II Unbundling and Sell-Side Analyst Research</x:v>
      </x:c>
      <x:c r="D20" s="32" t="str">
        <x:v>2020</x:v>
      </x:c>
      <x:c r="E20" s="32" t="str">
        <x:v>European Securities and Markets Authority (ESMA)</x:v>
      </x:c>
      <x:c r="F20" s="32" t="str">
        <x:v>MiFID II research unbundling — first evidence</x:v>
      </x:c>
      <x:c r="G20" s="32" t="str">
        <x:v>D</x:v>
      </x:c>
      <x:c r="H20" s="32" t="str">
        <x:v>Policy / regulatory citation</x:v>
      </x:c>
      <x:c r="I20" s="32" t="str">
        <x:v>Official EU regulator</x:v>
      </x:c>
      <x:c r="J20" s="32" t="str">
        <x:v>Regulatory research report</x:v>
      </x:c>
      <x:c r="K20" s="32" t="str">
        <x:v>MIFID-ESMA2020</x:v>
      </x:c>
      <x:c r="L20" s="32" t="n">
        <x:v>1</x:v>
      </x:c>
      <x:c r="M20" s="32" t="str">
        <x:v>High</x:v>
      </x:c>
      <x:c r="N20" s="32" t="str">
        <x:v>Official PDF and references inspected</x:v>
      </x:c>
      <x:c r="O20" s="32" t="str">
        <x:v>Cites the working paper in ESMA's early evidence review of MiFID II research unbundling.</x:v>
      </x:c>
      <x:c r="P20" s="36" t="str">
        <x:v>https://www.esma.europa.eu/sites/default/files/trv_2020_2-mifid_ii_research_unbundling_first_evidence.pdf</x:v>
      </x:c>
      <x:c r="Q20" s="32" t="str">
        <x:v>2026-08-16</x:v>
      </x:c>
      <x:c r="R20" s="32" t="str">
        <x:v>Policy impact; classify separately from media.</x:v>
      </x:c>
    </x:row>
    <x:row r="21" ht="64" customHeight="1">
      <x:c r="A21" s="32" t="str">
        <x:v>COV-017</x:v>
      </x:c>
      <x:c r="B21" s="32" t="n">
        <x:v>10</x:v>
      </x:c>
      <x:c r="C21" s="32" t="str">
        <x:v>MiFID II Unbundling and Sell-Side Analyst Research</x:v>
      </x:c>
      <x:c r="D21" s="32" t="str">
        <x:v>2021</x:v>
      </x:c>
      <x:c r="E21" s="32" t="str">
        <x:v>European Securities and Markets Authority (ESMA)</x:v>
      </x:c>
      <x:c r="F21" s="32" t="str">
        <x:v>MiFID II research unbundling: assessing the impact on SMEs</x:v>
      </x:c>
      <x:c r="G21" s="32" t="str">
        <x:v>D</x:v>
      </x:c>
      <x:c r="H21" s="32" t="str">
        <x:v>Policy / regulatory citation</x:v>
      </x:c>
      <x:c r="I21" s="32" t="str">
        <x:v>Official EU regulator</x:v>
      </x:c>
      <x:c r="J21" s="32" t="str">
        <x:v>ESMA working paper</x:v>
      </x:c>
      <x:c r="K21" s="32" t="str">
        <x:v>MIFID-ESMA2021</x:v>
      </x:c>
      <x:c r="L21" s="32" t="n">
        <x:v>1</x:v>
      </x:c>
      <x:c r="M21" s="32" t="str">
        <x:v>High</x:v>
      </x:c>
      <x:c r="N21" s="32" t="str">
        <x:v>Official PDF and references inspected</x:v>
      </x:c>
      <x:c r="O21" s="32" t="str">
        <x:v>Cites the paper in an ESMA working paper evaluating the effect of research unbundling on SMEs.</x:v>
      </x:c>
      <x:c r="P21" s="36" t="str">
        <x:v>https://www.esma.europa.eu/sites/default/files/library/esma_50-165-1269_research_unbundling.pdf</x:v>
      </x:c>
      <x:c r="Q21" s="32" t="str">
        <x:v>2026-08-16</x:v>
      </x:c>
      <x:c r="R21" s="32" t="str">
        <x:v>Policy impact; classify separately from media.</x:v>
      </x:c>
    </x:row>
    <x:row r="22" ht="64" customHeight="1">
      <x:c r="A22" s="32" t="str">
        <x:v>COV-018</x:v>
      </x:c>
      <x:c r="B22" s="32" t="n">
        <x:v>10</x:v>
      </x:c>
      <x:c r="C22" s="32" t="str">
        <x:v>MiFID II Unbundling and Sell-Side Analyst Research</x:v>
      </x:c>
      <x:c r="D22" s="32" t="str">
        <x:v>2022-02-18</x:v>
      </x:c>
      <x:c r="E22" s="32" t="str">
        <x:v>U.S. Securities and Exchange Commission</x:v>
      </x:c>
      <x:c r="F22" s="32" t="str">
        <x:v>Staff Report on the Issues Affecting the Provision of and Reliance Upon Investment Research Into Small Issuers</x:v>
      </x:c>
      <x:c r="G22" s="32" t="str">
        <x:v>D</x:v>
      </x:c>
      <x:c r="H22" s="32" t="str">
        <x:v>Policy / regulatory citation</x:v>
      </x:c>
      <x:c r="I22" s="32" t="str">
        <x:v>Official U.S. regulator</x:v>
      </x:c>
      <x:c r="J22" s="32" t="str">
        <x:v>SEC staff report</x:v>
      </x:c>
      <x:c r="K22" s="32" t="str">
        <x:v>MIFID-SEC2022</x:v>
      </x:c>
      <x:c r="L22" s="32" t="n">
        <x:v>1</x:v>
      </x:c>
      <x:c r="M22" s="32" t="str">
        <x:v>High</x:v>
      </x:c>
      <x:c r="N22" s="32" t="str">
        <x:v>Official PDF and footnote inspected</x:v>
      </x:c>
      <x:c r="O22" s="32" t="str">
        <x:v>Footnote 158 cites the paper in an SEC staff report on investment research for small issuers.</x:v>
      </x:c>
      <x:c r="P22" s="36" t="str">
        <x:v>https://www.sec.gov/files/staff-report-investment-research-small-issuers.pdf</x:v>
      </x:c>
      <x:c r="Q22" s="32" t="str">
        <x:v>2026-08-16</x:v>
      </x:c>
      <x:c r="R22" s="32" t="str">
        <x:v>High-value policy evidence for a promotion dossier.</x:v>
      </x:c>
    </x:row>
    <x:row r="23" ht="64" customHeight="1">
      <x:c r="A23" s="32" t="str">
        <x:v>COV-019</x:v>
      </x:c>
      <x:c r="B23" s="32" t="n">
        <x:v>10</x:v>
      </x:c>
      <x:c r="C23" s="32" t="str">
        <x:v>MiFID II Unbundling and Sell-Side Analyst Research</x:v>
      </x:c>
      <x:c r="D23" s="32" t="str">
        <x:v>2025-02-17</x:v>
      </x:c>
      <x:c r="E23" s="32" t="str">
        <x:v>ESMA Securities and Markets Stakeholder Group</x:v>
      </x:c>
      <x:c r="F23" s="32" t="str">
        <x:v>SMSG Advice on Research Provisions</x:v>
      </x:c>
      <x:c r="G23" s="32" t="str">
        <x:v>D</x:v>
      </x:c>
      <x:c r="H23" s="32" t="str">
        <x:v>Policy / regulatory citation</x:v>
      </x:c>
      <x:c r="I23" s="32" t="str">
        <x:v>Official ESMA advisory body</x:v>
      </x:c>
      <x:c r="J23" s="32" t="str">
        <x:v>Regulatory advice</x:v>
      </x:c>
      <x:c r="K23" s="32" t="str">
        <x:v>MIFID-ESMA2025</x:v>
      </x:c>
      <x:c r="L23" s="32" t="n">
        <x:v>1</x:v>
      </x:c>
      <x:c r="M23" s="32" t="str">
        <x:v>High</x:v>
      </x:c>
      <x:c r="N23" s="32" t="str">
        <x:v>Official PDF and bibliography inspected</x:v>
      </x:c>
      <x:c r="O23" s="32" t="str">
        <x:v>Cites the final Journal of Accounting and Economics article in formal advice on research provisions.</x:v>
      </x:c>
      <x:c r="P23" s="36" t="str">
        <x:v>https://www.esma.europa.eu/sites/default/files/2025-02/ESMA24-229244789-5256_SMSG_advice_on_Research_provisions.pdf</x:v>
      </x:c>
      <x:c r="Q23" s="32" t="str">
        <x:v>2026-08-16</x:v>
      </x:c>
      <x:c r="R23" s="32" t="str">
        <x:v>Shows continuing policy relevance through 2025.</x:v>
      </x:c>
    </x:row>
    <x:row r="24" ht="64" customHeight="1">
      <x:c r="A24" s="32" t="str">
        <x:v>COV-020</x:v>
      </x:c>
      <x:c r="B24" s="32" t="n">
        <x:v>11</x:v>
      </x:c>
      <x:c r="C24" s="32" t="str">
        <x:v>Mandatory Disclosure and Learning from External Market Participants: Evidence from the JOBS Act</x:v>
      </x:c>
      <x:c r="D24" s="32" t="str">
        <x:v>2022-08-22</x:v>
      </x:c>
      <x:c r="E24" s="32" t="str">
        <x:v>National Affairs — Findings</x:v>
      </x:c>
      <x:c r="F24" s="32" t="str">
        <x:v>From Capital to Labor</x:v>
      </x:c>
      <x:c r="G24" s="32" t="str">
        <x:v>B</x:v>
      </x:c>
      <x:c r="H24" s="32" t="str">
        <x:v>Practitioner / policy-facing editorial</x:v>
      </x:c>
      <x:c r="I24" s="32" t="str">
        <x:v>Independent curated research roundup</x:v>
      </x:c>
      <x:c r="J24" s="32" t="str">
        <x:v>Research roundup</x:v>
      </x:c>
      <x:c r="K24" s="32" t="str">
        <x:v>JOBS-NATAFFAIRS</x:v>
      </x:c>
      <x:c r="L24" s="32" t="n">
        <x:v>1</x:v>
      </x:c>
      <x:c r="M24" s="32" t="str">
        <x:v>Medium</x:v>
      </x:c>
      <x:c r="N24" s="32" t="str">
        <x:v>Direct page verified</x:v>
      </x:c>
      <x:c r="O24" s="32" t="str">
        <x:v>Selects and summarizes the JOBS Act paper in a public-policy research roundup.</x:v>
      </x:c>
      <x:c r="P24" s="36" t="str">
        <x:v>https://nationalaffairs.com/blog/detail/findings-a-daily-roundup/from-capital-to-labor</x:v>
      </x:c>
      <x:c r="Q24" s="32" t="str">
        <x:v>2026-08-16</x:v>
      </x:c>
      <x:c r="R24" s="32" t="str">
        <x:v>Brief, independently selected coverage.</x:v>
      </x:c>
    </x:row>
    <x:row r="25" ht="64" customHeight="1">
      <x:c r="A25" s="32" t="str">
        <x:v>COV-021</x:v>
      </x:c>
      <x:c r="B25" s="32" t="n">
        <x:v>11</x:v>
      </x:c>
      <x:c r="C25" s="32" t="str">
        <x:v>Mandatory Disclosure and Learning from External Market Participants: Evidence from the JOBS Act</x:v>
      </x:c>
      <x:c r="D25" s="32" t="str">
        <x:v>2022-08-31</x:v>
      </x:c>
      <x:c r="E25" s="32" t="str">
        <x:v>Contabilidade Financeira</x:v>
      </x:c>
      <x:c r="F25" s="32" t="str">
        <x:v>Evidenciação obrigatória e suas consequências</x:v>
      </x:c>
      <x:c r="G25" s="32" t="str">
        <x:v>B</x:v>
      </x:c>
      <x:c r="H25" s="32" t="str">
        <x:v>Practitioner / policy-facing editorial</x:v>
      </x:c>
      <x:c r="I25" s="32" t="str">
        <x:v>Independent accounting blog</x:v>
      </x:c>
      <x:c r="J25" s="32" t="str">
        <x:v>Direct paper discussion</x:v>
      </x:c>
      <x:c r="K25" s="32" t="str">
        <x:v>JOBS-CONTFIN</x:v>
      </x:c>
      <x:c r="L25" s="32" t="n">
        <x:v>1</x:v>
      </x:c>
      <x:c r="M25" s="32" t="str">
        <x:v>Medium</x:v>
      </x:c>
      <x:c r="N25" s="32" t="str">
        <x:v>Direct page verified</x:v>
      </x:c>
      <x:c r="O25" s="32" t="str">
        <x:v>Portuguese-language accounting discussion of the paper's mechanism and implications.</x:v>
      </x:c>
      <x:c r="P25" s="36" t="str">
        <x:v>https://www.contabilidade-financeira.com/2022/08/evidenciacao-obrigatoria-e-suas.html?m=0</x:v>
      </x:c>
      <x:c r="Q25" s="32" t="str">
        <x:v>2026-08-16</x:v>
      </x:c>
      <x:c r="R25" s="32" t="str">
        <x:v>Useful international and Portuguese-language reach.</x:v>
      </x:c>
    </x:row>
    <x:row r="26" ht="64" customHeight="1">
      <x:c r="A26" s="32" t="str">
        <x:v>COV-022</x:v>
      </x:c>
      <x:c r="B26" s="32" t="n">
        <x:v>12</x:v>
      </x:c>
      <x:c r="C26" s="32" t="str">
        <x:v>The Influence of Short Selling on Negative Press Coverage of Firms</x:v>
      </x:c>
      <x:c r="D26" s="32" t="str">
        <x:v>2023-05-05</x:v>
      </x:c>
      <x:c r="E26" s="32" t="str">
        <x:v>Kenan Institute of Private Enterprise</x:v>
      </x:c>
      <x:c r="F26" s="32" t="str">
        <x:v>The Influence of Short Selling on Negative Press Coverage of Firms</x:v>
      </x:c>
      <x:c r="G26" s="32" t="str">
        <x:v>C</x:v>
      </x:c>
      <x:c r="H26" s="32" t="str">
        <x:v>Institutional press / research translation</x:v>
      </x:c>
      <x:c r="I26" s="32" t="str">
        <x:v>University research institute</x:v>
      </x:c>
      <x:c r="J26" s="32" t="str">
        <x:v>Research translation</x:v>
      </x:c>
      <x:c r="K26" s="32" t="str">
        <x:v>SHORT-KENAN</x:v>
      </x:c>
      <x:c r="L26" s="32" t="n">
        <x:v>1</x:v>
      </x:c>
      <x:c r="M26" s="32" t="str">
        <x:v>Medium</x:v>
      </x:c>
      <x:c r="N26" s="32" t="str">
        <x:v>Direct page verified</x:v>
      </x:c>
      <x:c r="O26" s="32" t="str">
        <x:v>Public-facing institutional summary of the paper's short-selling and media-production findings.</x:v>
      </x:c>
      <x:c r="P26" s="36" t="str">
        <x:v>https://kenaninstitute.unc.edu/publication/the-influence-of-short-selling-on-negative-press-coverage-of-firms/</x:v>
      </x:c>
      <x:c r="Q26" s="32" t="str">
        <x:v>2026-08-16</x:v>
      </x:c>
      <x:c r="R26" s="32" t="str">
        <x:v>Institutional translation, not independent media.</x:v>
      </x:c>
    </x:row>
  </x:sheetData>
  <x:mergeCells>
    <x:mergeCell ref="A1:R1"/>
    <x:mergeCell ref="A2:R2"/>
  </x:mergeCells>
  <x:conditionalFormatting sqref="M5:M26">
    <x:cfRule type="expression" dxfId="0" priority="1">
      <x:formula>M5="High"</x:formula>
    </x:cfRule>
    <x:cfRule type="expression" dxfId="1" priority="2">
      <x:formula>M5="Low"</x:formula>
    </x:cfRule>
  </x:conditionalFormatting>
  <x:conditionalFormatting sqref="G5:G26">
    <x:cfRule type="expression" dxfId="2" priority="3">
      <x:formula>G5="D"</x:formula>
    </x:cfRule>
  </x:conditionalFormatting>
  <x:conditionalFormatting sqref="L5:L26">
    <x:cfRule type="expression" dxfId="3" priority="4">
      <x:formula>L5=0</x:formula>
    </x:cfRule>
  </x:conditionalFormatting>
  <x:pageMargins left="0.7" right="0.7" top="0.75" bottom="0.75" header="0.3" footer="0.3"/>
  <x:tableParts count="1">
    <x:tablePart xmlns:r="http://schemas.openxmlformats.org/officeDocument/2006/relationships" r:id="Rd66295e31ad04bce"/>
  </x:tableParts>
</x:worksheet>
</file>

<file path=xl/worksheets/sheet3.xml><?xml version="1.0" encoding="utf-8"?>
<x:worksheet xmlns:x="http://schemas.openxmlformats.org/spreadsheetml/2006/main">
  <x:sheetFormatPr defaultRowHeight="15"/>
  <x:cols>
    <x:col min="1" max="1" width="5" hidden="0" customWidth="1"/>
    <x:col min="2" max="2" width="38" hidden="0" customWidth="1"/>
    <x:col min="3" max="3" width="27" hidden="0" customWidth="1"/>
    <x:col min="4" max="4" width="28" hidden="0" customWidth="1"/>
    <x:col min="5" max="5" width="33"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42" hidden="0" customWidth="1"/>
    <x:col min="14" max="14" width="36" hidden="0" customWidth="1"/>
    <x:col min="15" max="15" width="40" hidden="0" customWidth="1"/>
    <x:col min="16" max="16" width="38" hidden="0" customWidth="1"/>
  </x:cols>
  <x:sheetData>
    <x:row r="1" ht="34" customHeight="1">
      <x:c r="A1" s="5" t="str">
        <x:v>Paper-by-Paper Audit — Complete CV Inventory</x:v>
      </x:c>
      <x:c r="B1" s="5"/>
      <x:c r="C1" s="5"/>
      <x:c r="D1" s="5"/>
      <x:c r="E1" s="5"/>
      <x:c r="F1" s="5"/>
      <x:c r="G1" s="5"/>
      <x:c r="H1" s="5"/>
      <x:c r="I1" s="5"/>
      <x:c r="J1" s="5"/>
      <x:c r="K1" s="5"/>
      <x:c r="L1" s="5"/>
      <x:c r="M1" s="5"/>
      <x:c r="N1" s="5"/>
      <x:c r="O1" s="5"/>
      <x:c r="P1" s="5"/>
    </x:row>
    <x:row r="2" ht="28" customHeight="1">
      <x:c r="A2" s="14" t="str">
        <x:v>All 20 papers on the live CV were searched using current titles, title variants, findings phrases, coauthor pages, and targeted outlet/regulator domains.</x:v>
      </x:c>
      <x:c r="B2" s="14"/>
      <x:c r="C2" s="14"/>
      <x:c r="D2" s="14"/>
      <x:c r="E2" s="14"/>
      <x:c r="F2" s="14"/>
      <x:c r="G2" s="14"/>
      <x:c r="H2" s="14"/>
      <x:c r="I2" s="14"/>
      <x:c r="J2" s="14"/>
      <x:c r="K2" s="14"/>
      <x:c r="L2" s="14"/>
      <x:c r="M2" s="14"/>
      <x:c r="N2" s="14"/>
      <x:c r="O2" s="14"/>
      <x:c r="P2" s="14"/>
    </x:row>
    <x:row r="4" ht="30" customHeight="1">
      <x:c r="A4" s="24" t="str">
        <x:v>#</x:v>
      </x:c>
      <x:c r="B4" s="24" t="str">
        <x:v>Current / final title</x:v>
      </x:c>
      <x:c r="C4" s="24" t="str">
        <x:v>Status / outlet / year</x:v>
      </x:c>
      <x:c r="D4" s="24" t="str">
        <x:v>Coauthors</x:v>
      </x:c>
      <x:c r="E4" s="24" t="str">
        <x:v>Title variants searched</x:v>
      </x:c>
      <x:c r="F4" s="24" t="str">
        <x:v>Independent / practitioner</x:v>
      </x:c>
      <x:c r="G4" s="24" t="str">
        <x:v>Institutional</x:v>
      </x:c>
      <x:c r="H4" s="24" t="str">
        <x:v>Policy</x:v>
      </x:c>
      <x:c r="I4" s="24" t="str">
        <x:v>Syndication</x:v>
      </x:c>
      <x:c r="J4" s="24" t="str">
        <x:v>Total placements</x:v>
      </x:c>
      <x:c r="K4" s="24" t="str">
        <x:v>Verified external impact?</x:v>
      </x:c>
      <x:c r="L4" s="24" t="str">
        <x:v>Impact flag</x:v>
      </x:c>
      <x:c r="M4" s="24" t="str">
        <x:v>Best evidence</x:v>
      </x:c>
      <x:c r="N4" s="24" t="str">
        <x:v>Coauthor / dissemination pass</x:v>
      </x:c>
      <x:c r="O4" s="24" t="str">
        <x:v>Audit conclusion</x:v>
      </x:c>
      <x:c r="P4" s="24" t="str">
        <x:v>Primary paper / record</x:v>
      </x:c>
    </x:row>
    <x:row r="5" ht="74" customHeight="1">
      <x:c r="A5" s="32" t="n">
        <x:v>1</x:v>
      </x:c>
      <x:c r="B5" s="32" t="str">
        <x:v>Judge Financial Holdings and Case Outcomes: Evidence from Judge Financial Disclosures</x:v>
      </x:c>
      <x:c r="C5" s="32" t="str">
        <x:v>Conditionally accepted — Journal of Accounting and Economics</x:v>
      </x:c>
      <x:c r="D5" s="32" t="str">
        <x:v>Tuhin Harit; Sunil Parupati; Gil Sadka</x:v>
      </x:c>
      <x:c r="E5" s="32" t="str">
        <x:v>No material title variant located</x:v>
      </x:c>
      <x:c r="F5" s="40" t="n">
        <x:f>COUNTIFS('Verified Coverage'!$B$5:$B$100,$A5,'Verified Coverage'!$G$5:$G$100,"A")+COUNTIFS('Verified Coverage'!$B$5:$B$100,$A5,'Verified Coverage'!$G$5:$G$100,"B")</x:f>
        <x:v>0</x:v>
      </x:c>
      <x:c r="G5" s="40" t="n">
        <x:f>COUNTIFS('Verified Coverage'!$B$5:$B$100,$A5,'Verified Coverage'!$G$5:$G$100,"C")</x:f>
        <x:v>0</x:v>
      </x:c>
      <x:c r="H5" s="40" t="n">
        <x:f>COUNTIFS('Verified Coverage'!$B$5:$B$100,$A5,'Verified Coverage'!$G$5:$G$100,"D")</x:f>
        <x:v>0</x:v>
      </x:c>
      <x:c r="I5" s="40" t="n">
        <x:f>COUNTIFS('Verified Coverage'!$B$5:$B$100,$A5,'Verified Coverage'!$G$5:$G$100,"E")</x:f>
        <x:v>0</x:v>
      </x:c>
      <x:c r="J5" s="40" t="n">
        <x:f>SUM(F5:I5)</x:f>
        <x:v>0</x:v>
      </x:c>
      <x:c r="K5" s="40" t="str">
        <x:f>IF(J5&gt;0,"Yes","No")</x:f>
        <x:v>No</x:v>
      </x:c>
      <x:c r="L5" s="40" t="n">
        <x:f>IF(J5&gt;0,1,0)</x:f>
        <x:v>0</x:v>
      </x:c>
      <x:c r="M5" s="32" t="str">
        <x:v>No verified direct coverage. Coauthor pages claim ELSBlog coverage; exact posts were not recovered. A CLS Blue Sky article on another judge paper cites this paper only indirectly.</x:v>
      </x:c>
      <x:c r="N5" s="32" t="str">
        <x:v>Tuhin Harit and Sunil Parupati research pages reviewed.</x:v>
      </x:c>
      <x:c r="O5" s="32" t="str">
        <x:v>0 verified placements; retain two ELSBlog claims as leads, not evidence.</x:v>
      </x:c>
      <x:c r="P5" s="36" t="str">
        <x:v>https://papers.ssrn.com/sol3/papers.cfm?abstract_id=4265987</x:v>
      </x:c>
    </x:row>
    <x:row r="6" ht="74" customHeight="1">
      <x:c r="A6" s="32" t="n">
        <x:v>2</x:v>
      </x:c>
      <x:c r="B6" s="32" t="str">
        <x:v>Toxic Social Media Opinions and Capital Markets</x:v>
      </x:c>
      <x:c r="C6" s="32" t="str">
        <x:v>Conditionally accepted — The Accounting Review</x:v>
      </x:c>
      <x:c r="D6" s="32" t="str">
        <x:v>Elizabeth Blankespoor; Kirti Sinha</x:v>
      </x:c>
      <x:c r="E6" s="32" t="str">
        <x:v>Earlier working-paper versions searched by title and findings</x:v>
      </x:c>
      <x:c r="F6" s="40" t="n">
        <x:f>COUNTIFS('Verified Coverage'!$B$5:$B$100,$A6,'Verified Coverage'!$G$5:$G$100,"A")+COUNTIFS('Verified Coverage'!$B$5:$B$100,$A6,'Verified Coverage'!$G$5:$G$100,"B")</x:f>
        <x:v>0</x:v>
      </x:c>
      <x:c r="G6" s="40" t="n">
        <x:f>COUNTIFS('Verified Coverage'!$B$5:$B$100,$A6,'Verified Coverage'!$G$5:$G$100,"C")</x:f>
        <x:v>0</x:v>
      </x:c>
      <x:c r="H6" s="40" t="n">
        <x:f>COUNTIFS('Verified Coverage'!$B$5:$B$100,$A6,'Verified Coverage'!$G$5:$G$100,"D")</x:f>
        <x:v>0</x:v>
      </x:c>
      <x:c r="I6" s="40" t="n">
        <x:f>COUNTIFS('Verified Coverage'!$B$5:$B$100,$A6,'Verified Coverage'!$G$5:$G$100,"E")</x:f>
        <x:v>0</x:v>
      </x:c>
      <x:c r="J6" s="40" t="n">
        <x:f>SUM(F6:I6)</x:f>
        <x:v>0</x:v>
      </x:c>
      <x:c r="K6" s="40" t="str">
        <x:f>IF(J6&gt;0,"Yes","No")</x:f>
        <x:v>No</x:v>
      </x:c>
      <x:c r="L6" s="40" t="n">
        <x:f>IF(J6&gt;0,1,0)</x:f>
        <x:v>0</x:v>
      </x:c>
      <x:c r="M6" s="32" t="str">
        <x:v>No verified media, practitioner, institutional press, or policy coverage found.</x:v>
      </x:c>
      <x:c r="N6" s="32" t="str">
        <x:v>Primary paper and coauthor-title searches reviewed.</x:v>
      </x:c>
      <x:c r="O6" s="32" t="str">
        <x:v>0 verified placements. Do not infer lack of impact; this is a public-web finding only.</x:v>
      </x:c>
      <x:c r="P6" s="36" t="str">
        <x:v>https://www.jedsonpinto.com/cv.html</x:v>
      </x:c>
    </x:row>
    <x:row r="7" ht="74" customHeight="1">
      <x:c r="A7" s="32" t="n">
        <x:v>3</x:v>
      </x:c>
      <x:c r="B7" s="32" t="str">
        <x:v>On the Usefulness of Guidance Reports</x:v>
      </x:c>
      <x:c r="C7" s="32" t="str">
        <x:v>Review of Accounting Studies, 2026</x:v>
      </x:c>
      <x:c r="D7" s="32" t="str">
        <x:v>William Mayew; Xiaoxi Wu</x:v>
      </x:c>
      <x:c r="E7" s="32" t="str">
        <x:v>No material title variant located</x:v>
      </x:c>
      <x:c r="F7" s="40" t="n">
        <x:f>COUNTIFS('Verified Coverage'!$B$5:$B$100,$A7,'Verified Coverage'!$G$5:$G$100,"A")+COUNTIFS('Verified Coverage'!$B$5:$B$100,$A7,'Verified Coverage'!$G$5:$G$100,"B")</x:f>
        <x:v>0</x:v>
      </x:c>
      <x:c r="G7" s="40" t="n">
        <x:f>COUNTIFS('Verified Coverage'!$B$5:$B$100,$A7,'Verified Coverage'!$G$5:$G$100,"C")</x:f>
        <x:v>0</x:v>
      </x:c>
      <x:c r="H7" s="40" t="n">
        <x:f>COUNTIFS('Verified Coverage'!$B$5:$B$100,$A7,'Verified Coverage'!$G$5:$G$100,"D")</x:f>
        <x:v>0</x:v>
      </x:c>
      <x:c r="I7" s="40" t="n">
        <x:f>COUNTIFS('Verified Coverage'!$B$5:$B$100,$A7,'Verified Coverage'!$G$5:$G$100,"E")</x:f>
        <x:v>0</x:v>
      </x:c>
      <x:c r="J7" s="40" t="n">
        <x:f>SUM(F7:I7)</x:f>
        <x:v>0</x:v>
      </x:c>
      <x:c r="K7" s="40" t="str">
        <x:f>IF(J7&gt;0,"Yes","No")</x:f>
        <x:v>No</x:v>
      </x:c>
      <x:c r="L7" s="40" t="n">
        <x:f>IF(J7&gt;0,1,0)</x:f>
        <x:v>0</x:v>
      </x:c>
      <x:c r="M7" s="32" t="str">
        <x:v>No independent coverage found. Publisher, Duke Scholars, data-resource, and author dissemination pages exist.</x:v>
      </x:c>
      <x:c r="N7" s="32" t="str">
        <x:v>Duke Scholars record and project/resource pages reviewed.</x:v>
      </x:c>
      <x:c r="O7" s="32" t="str">
        <x:v>0 coverage placements; classify existing visibility as dissemination.</x:v>
      </x:c>
      <x:c r="P7" s="36" t="str">
        <x:v>https://doi.org/10.1007/s11142-026-09977-w</x:v>
      </x:c>
    </x:row>
    <x:row r="8" ht="74" customHeight="1">
      <x:c r="A8" s="32" t="n">
        <x:v>4</x:v>
      </x:c>
      <x:c r="B8" s="32" t="str">
        <x:v>Impartial Intelligence? Country Bias in GenAI Financial Analysis</x:v>
      </x:c>
      <x:c r="C8" s="32" t="str">
        <x:v>Journal of Business Ethics, 2026</x:v>
      </x:c>
      <x:c r="D8" s="32" t="str">
        <x:v>Fabio Motoki</x:v>
      </x:c>
      <x:c r="E8" s="32" t="str">
        <x:v>Final title: Impartial Intelligence? Evidence of Country-Label Sensitivity in AI Financial Analysis</x:v>
      </x:c>
      <x:c r="F8" s="40" t="n">
        <x:f>COUNTIFS('Verified Coverage'!$B$5:$B$100,$A8,'Verified Coverage'!$G$5:$G$100,"A")+COUNTIFS('Verified Coverage'!$B$5:$B$100,$A8,'Verified Coverage'!$G$5:$G$100,"B")</x:f>
        <x:v>0</x:v>
      </x:c>
      <x:c r="G8" s="40" t="n">
        <x:f>COUNTIFS('Verified Coverage'!$B$5:$B$100,$A8,'Verified Coverage'!$G$5:$G$100,"C")</x:f>
        <x:v>0</x:v>
      </x:c>
      <x:c r="H8" s="40" t="n">
        <x:f>COUNTIFS('Verified Coverage'!$B$5:$B$100,$A8,'Verified Coverage'!$G$5:$G$100,"D")</x:f>
        <x:v>0</x:v>
      </x:c>
      <x:c r="I8" s="40" t="n">
        <x:f>COUNTIFS('Verified Coverage'!$B$5:$B$100,$A8,'Verified Coverage'!$G$5:$G$100,"E")</x:f>
        <x:v>0</x:v>
      </x:c>
      <x:c r="J8" s="40" t="n">
        <x:f>SUM(F8:I8)</x:f>
        <x:v>0</x:v>
      </x:c>
      <x:c r="K8" s="40" t="str">
        <x:f>IF(J8&gt;0,"Yes","No")</x:f>
        <x:v>No</x:v>
      </x:c>
      <x:c r="L8" s="40" t="n">
        <x:f>IF(J8&gt;0,1,0)</x:f>
        <x:v>0</x:v>
      </x:c>
      <x:c r="M8" s="32" t="str">
        <x:v>No verified independent coverage found as of the audit date.</x:v>
      </x:c>
      <x:c r="N8" s="32" t="str">
        <x:v>Publisher and author/social dissemination reviewed.</x:v>
      </x:c>
      <x:c r="O8" s="32" t="str">
        <x:v>0 verified placements. The article was published very recently, so media lag is plausible.</x:v>
      </x:c>
      <x:c r="P8" s="36" t="str">
        <x:v>https://doi.org/10.1007/s10551-026-06385-7</x:v>
      </x:c>
    </x:row>
    <x:row r="9" ht="74" customHeight="1">
      <x:c r="A9" s="32" t="n">
        <x:v>5</x:v>
      </x:c>
      <x:c r="B9" s="32" t="str">
        <x:v>Employee Non-Disclosure Agreements and Corporate News</x:v>
      </x:c>
      <x:c r="C9" s="32" t="str">
        <x:v>Contemporary Accounting Research, 2026</x:v>
      </x:c>
      <x:c r="D9" s="32" t="str">
        <x:v>Cameron Holstead; June Huang</x:v>
      </x:c>
      <x:c r="E9" s="32" t="str">
        <x:v>No material title variant located</x:v>
      </x:c>
      <x:c r="F9" s="40" t="n">
        <x:f>COUNTIFS('Verified Coverage'!$B$5:$B$100,$A9,'Verified Coverage'!$G$5:$G$100,"A")+COUNTIFS('Verified Coverage'!$B$5:$B$100,$A9,'Verified Coverage'!$G$5:$G$100,"B")</x:f>
        <x:v>1</x:v>
      </x:c>
      <x:c r="G9" s="40" t="n">
        <x:f>COUNTIFS('Verified Coverage'!$B$5:$B$100,$A9,'Verified Coverage'!$G$5:$G$100,"C")</x:f>
        <x:v>0</x:v>
      </x:c>
      <x:c r="H9" s="40" t="n">
        <x:f>COUNTIFS('Verified Coverage'!$B$5:$B$100,$A9,'Verified Coverage'!$G$5:$G$100,"D")</x:f>
        <x:v>0</x:v>
      </x:c>
      <x:c r="I9" s="40" t="n">
        <x:f>COUNTIFS('Verified Coverage'!$B$5:$B$100,$A9,'Verified Coverage'!$G$5:$G$100,"E")</x:f>
        <x:v>0</x:v>
      </x:c>
      <x:c r="J9" s="40" t="n">
        <x:f>SUM(F9:I9)</x:f>
        <x:v>1</x:v>
      </x:c>
      <x:c r="K9" s="40" t="str">
        <x:f>IF(J9&gt;0,"Yes","No")</x:f>
        <x:v>Yes</x:v>
      </x:c>
      <x:c r="L9" s="40" t="n">
        <x:f>IF(J9&gt;0,1,0)</x:f>
        <x:v>1</x:v>
      </x:c>
      <x:c r="M9" s="32" t="str">
        <x:v>Public Administration Policy directly discusses the paper.</x:v>
      </x:c>
      <x:c r="N9" s="32" t="str">
        <x:v>User and coauthor dissemination reviewed; no regulator citation found.</x:v>
      </x:c>
      <x:c r="O9" s="32" t="str">
        <x:v>1 verified practitioner placement; moderate/low outlet authority.</x:v>
      </x:c>
      <x:c r="P9" s="36" t="str">
        <x:v>https://www.jedsonpinto.com/cv.html</x:v>
      </x:c>
    </x:row>
    <x:row r="10" ht="74" customHeight="1">
      <x:c r="A10" s="32" t="n">
        <x:v>6</x:v>
      </x:c>
      <x:c r="B10" s="32" t="str">
        <x:v>Beyond Words: The Challenge of Interpreting Financial Text Across Cultures</x:v>
      </x:c>
      <x:c r="C10" s="32" t="str">
        <x:v>Journal of International Business Studies, 2025</x:v>
      </x:c>
      <x:c r="D10" s="32" t="str">
        <x:v>Federico Siano</x:v>
      </x:c>
      <x:c r="E10" s="32" t="str">
        <x:v>Final title: Beyond words: the challenge of measuring financial text across borders</x:v>
      </x:c>
      <x:c r="F10" s="40" t="n">
        <x:f>COUNTIFS('Verified Coverage'!$B$5:$B$100,$A10,'Verified Coverage'!$G$5:$G$100,"A")+COUNTIFS('Verified Coverage'!$B$5:$B$100,$A10,'Verified Coverage'!$G$5:$G$100,"B")</x:f>
        <x:v>0</x:v>
      </x:c>
      <x:c r="G10" s="40" t="n">
        <x:f>COUNTIFS('Verified Coverage'!$B$5:$B$100,$A10,'Verified Coverage'!$G$5:$G$100,"C")</x:f>
        <x:v>0</x:v>
      </x:c>
      <x:c r="H10" s="40" t="n">
        <x:f>COUNTIFS('Verified Coverage'!$B$5:$B$100,$A10,'Verified Coverage'!$G$5:$G$100,"D")</x:f>
        <x:v>0</x:v>
      </x:c>
      <x:c r="I10" s="40" t="n">
        <x:f>COUNTIFS('Verified Coverage'!$B$5:$B$100,$A10,'Verified Coverage'!$G$5:$G$100,"E")</x:f>
        <x:v>0</x:v>
      </x:c>
      <x:c r="J10" s="40" t="n">
        <x:f>SUM(F10:I10)</x:f>
        <x:v>0</x:v>
      </x:c>
      <x:c r="K10" s="40" t="str">
        <x:f>IF(J10&gt;0,"Yes","No")</x:f>
        <x:v>No</x:v>
      </x:c>
      <x:c r="L10" s="40" t="n">
        <x:f>IF(J10&gt;0,1,0)</x:f>
        <x:v>0</x:v>
      </x:c>
      <x:c r="M10" s="32" t="str">
        <x:v>No verified independent coverage found.</x:v>
      </x:c>
      <x:c r="N10" s="32" t="str">
        <x:v>Publisher, JIBS social, and institutional-newsletter dissemination reviewed.</x:v>
      </x:c>
      <x:c r="O10" s="32" t="str">
        <x:v>0 verified placements; preserve dissemination separately.</x:v>
      </x:c>
      <x:c r="P10" s="36" t="str">
        <x:v>https://doi.org/10.1057/s41267-025-00798-8</x:v>
      </x:c>
    </x:row>
    <x:row r="11" ht="74" customHeight="1">
      <x:c r="A11" s="32" t="n">
        <x:v>7</x:v>
      </x:c>
      <x:c r="B11" s="32" t="str">
        <x:v>The Impact of SEC Reporting Changes on Information Acquisition and Market Dynamics: Evidence from Foreign Cross-Listed Firms</x:v>
      </x:c>
      <x:c r="C11" s="32" t="str">
        <x:v>Contemporary Accounting Research, 2025</x:v>
      </x:c>
      <x:c r="D11" s="32" t="str">
        <x:v>Yongtae Kim; Edward Sul</x:v>
      </x:c>
      <x:c r="E11" s="32" t="str">
        <x:v>Exact title plus ADR/IFRS/reporting-change variants searched</x:v>
      </x:c>
      <x:c r="F11" s="40" t="n">
        <x:f>COUNTIFS('Verified Coverage'!$B$5:$B$100,$A11,'Verified Coverage'!$G$5:$G$100,"A")+COUNTIFS('Verified Coverage'!$B$5:$B$100,$A11,'Verified Coverage'!$G$5:$G$100,"B")</x:f>
        <x:v>1</x:v>
      </x:c>
      <x:c r="G11" s="40" t="n">
        <x:f>COUNTIFS('Verified Coverage'!$B$5:$B$100,$A11,'Verified Coverage'!$G$5:$G$100,"C")</x:f>
        <x:v>0</x:v>
      </x:c>
      <x:c r="H11" s="40" t="n">
        <x:f>COUNTIFS('Verified Coverage'!$B$5:$B$100,$A11,'Verified Coverage'!$G$5:$G$100,"D")</x:f>
        <x:v>0</x:v>
      </x:c>
      <x:c r="I11" s="40" t="n">
        <x:f>COUNTIFS('Verified Coverage'!$B$5:$B$100,$A11,'Verified Coverage'!$G$5:$G$100,"E")</x:f>
        <x:v>0</x:v>
      </x:c>
      <x:c r="J11" s="40" t="n">
        <x:f>SUM(F11:I11)</x:f>
        <x:v>1</x:v>
      </x:c>
      <x:c r="K11" s="40" t="str">
        <x:f>IF(J11&gt;0,"Yes","No")</x:f>
        <x:v>Yes</x:v>
      </x:c>
      <x:c r="L11" s="40" t="n">
        <x:f>IF(J11&gt;0,1,0)</x:f>
        <x:v>1</x:v>
      </x:c>
      <x:c r="M11" s="32" t="str">
        <x:v>One Japanese finance explainer directly covers the paper.</x:v>
      </x:c>
      <x:c r="N11" s="32" t="str">
        <x:v>Edward Sul and institutional faculty/research pages reviewed; no direct SEC citation found.</x:v>
      </x:c>
      <x:c r="O11" s="32" t="str">
        <x:v>1 verified placement, but the explainer contains questionable methodology details and should not be foregrounded.</x:v>
      </x:c>
      <x:c r="P11" s="36" t="str">
        <x:v>https://www.jedsonpinto.com/cv.html</x:v>
      </x:c>
    </x:row>
    <x:row r="12" ht="74" customHeight="1">
      <x:c r="A12" s="32" t="n">
        <x:v>8</x:v>
      </x:c>
      <x:c r="B12" s="32" t="str">
        <x:v>How Does Going Public Affect Employee Satisfaction? Evidence from Glassdoor Reviews</x:v>
      </x:c>
      <x:c r="C12" s="32" t="str">
        <x:v>Management Science, online 2025 / issue 2026</x:v>
      </x:c>
      <x:c r="D12" s="32" t="str">
        <x:v>Meng Li</x:v>
      </x:c>
      <x:c r="E12" s="32" t="str">
        <x:v>CV title: How Does Going Public Affect Employees? Evidence from Glassdoor Reviews</x:v>
      </x:c>
      <x:c r="F12" s="40" t="n">
        <x:f>COUNTIFS('Verified Coverage'!$B$5:$B$100,$A12,'Verified Coverage'!$G$5:$G$100,"A")+COUNTIFS('Verified Coverage'!$B$5:$B$100,$A12,'Verified Coverage'!$G$5:$G$100,"B")</x:f>
        <x:v>3</x:v>
      </x:c>
      <x:c r="G12" s="40" t="n">
        <x:f>COUNTIFS('Verified Coverage'!$B$5:$B$100,$A12,'Verified Coverage'!$G$5:$G$100,"C")</x:f>
        <x:v>1</x:v>
      </x:c>
      <x:c r="H12" s="40" t="n">
        <x:f>COUNTIFS('Verified Coverage'!$B$5:$B$100,$A12,'Verified Coverage'!$G$5:$G$100,"D")</x:f>
        <x:v>0</x:v>
      </x:c>
      <x:c r="I12" s="40" t="n">
        <x:f>COUNTIFS('Verified Coverage'!$B$5:$B$100,$A12,'Verified Coverage'!$G$5:$G$100,"E")</x:f>
        <x:v>1</x:v>
      </x:c>
      <x:c r="J12" s="40" t="n">
        <x:f>SUM(F12:I12)</x:f>
        <x:v>5</x:v>
      </x:c>
      <x:c r="K12" s="40" t="str">
        <x:f>IF(J12&gt;0,"Yes","No")</x:f>
        <x:v>Yes</x:v>
      </x:c>
      <x:c r="L12" s="40" t="n">
        <x:f>IF(J12&gt;0,1,0)</x:f>
        <x:v>1</x:v>
      </x:c>
      <x:c r="M12" s="32" t="str">
        <x:v>Five placements: UTD, CLS Blue Sky, TheCorporateCounsel.net, National Affairs, and one CLS mirror.</x:v>
      </x:c>
      <x:c r="N12" s="32" t="str">
        <x:v>Journal, institutional, practitioner, and coauthor/title searches reviewed.</x:v>
      </x:c>
      <x:c r="O12" s="32" t="str">
        <x:v>5 placements representing 4 distinct narratives; strongest independent item is TheCorporateCounsel.net.</x:v>
      </x:c>
      <x:c r="P12" s="36" t="str">
        <x:v>https://doi.org/10.1287/mnsc.2023.04285</x:v>
      </x:c>
    </x:row>
    <x:row r="13" ht="74" customHeight="1">
      <x:c r="A13" s="32" t="n">
        <x:v>9</x:v>
      </x:c>
      <x:c r="B13" s="32" t="str">
        <x:v>Regulating Data: Evidence from Corporate America</x:v>
      </x:c>
      <x:c r="C13" s="32" t="str">
        <x:v>Journal of Business Finance &amp; Accounting, 2025</x:v>
      </x:c>
      <x:c r="D13" s="32" t="str">
        <x:v>Fabio Motoki</x:v>
      </x:c>
      <x:c r="E13" s="32" t="str">
        <x:v>GDPR; data-protection-law; cybersecurity-breach variants searched</x:v>
      </x:c>
      <x:c r="F13" s="40" t="n">
        <x:f>COUNTIFS('Verified Coverage'!$B$5:$B$100,$A13,'Verified Coverage'!$G$5:$G$100,"A")+COUNTIFS('Verified Coverage'!$B$5:$B$100,$A13,'Verified Coverage'!$G$5:$G$100,"B")</x:f>
        <x:v>2</x:v>
      </x:c>
      <x:c r="G13" s="40" t="n">
        <x:f>COUNTIFS('Verified Coverage'!$B$5:$B$100,$A13,'Verified Coverage'!$G$5:$G$100,"C")</x:f>
        <x:v>1</x:v>
      </x:c>
      <x:c r="H13" s="40" t="n">
        <x:f>COUNTIFS('Verified Coverage'!$B$5:$B$100,$A13,'Verified Coverage'!$G$5:$G$100,"D")</x:f>
        <x:v>0</x:v>
      </x:c>
      <x:c r="I13" s="40" t="n">
        <x:f>COUNTIFS('Verified Coverage'!$B$5:$B$100,$A13,'Verified Coverage'!$G$5:$G$100,"E")</x:f>
        <x:v>4</x:v>
      </x:c>
      <x:c r="J13" s="40" t="n">
        <x:f>SUM(F13:I13)</x:f>
        <x:v>7</x:v>
      </x:c>
      <x:c r="K13" s="40" t="str">
        <x:f>IF(J13&gt;0,"Yes","No")</x:f>
        <x:v>Yes</x:v>
      </x:c>
      <x:c r="L13" s="40" t="n">
        <x:f>IF(J13&gt;0,1,0)</x:f>
        <x:v>1</x:v>
      </x:c>
      <x:c r="M13" s="32" t="str">
        <x:v>Accounting Today, UEA press, four press-release republications, and Passion for Privacy.</x:v>
      </x:c>
      <x:c r="N13" s="32" t="str">
        <x:v>UEA Pure press/media record and Fabio Motoki title searches reviewed.</x:v>
      </x:c>
      <x:c r="O13" s="32" t="str">
        <x:v>7 placements representing 3 distinct narratives; strongest conventional media item is Accounting Today.</x:v>
      </x:c>
      <x:c r="P13" s="36" t="str">
        <x:v>https://ueaeprints.uea.ac.uk/id/eprint/96205/</x:v>
      </x:c>
    </x:row>
    <x:row r="14" ht="74" customHeight="1">
      <x:c r="A14" s="32" t="n">
        <x:v>10</x:v>
      </x:c>
      <x:c r="B14" s="32" t="str">
        <x:v>MiFID II Unbundling and Sell-Side Analyst Research</x:v>
      </x:c>
      <x:c r="C14" s="32" t="str">
        <x:v>Journal of Accounting and Economics, 2024</x:v>
      </x:c>
      <x:c r="D14" s="32" t="str">
        <x:v>Mark Lang; Edward Sul</x:v>
      </x:c>
      <x:c r="E14" s="32" t="str">
        <x:v>Working-paper and final-article titles searched</x:v>
      </x:c>
      <x:c r="F14" s="40" t="n">
        <x:f>COUNTIFS('Verified Coverage'!$B$5:$B$100,$A14,'Verified Coverage'!$G$5:$G$100,"A")+COUNTIFS('Verified Coverage'!$B$5:$B$100,$A14,'Verified Coverage'!$G$5:$G$100,"B")</x:f>
        <x:v>0</x:v>
      </x:c>
      <x:c r="G14" s="40" t="n">
        <x:f>COUNTIFS('Verified Coverage'!$B$5:$B$100,$A14,'Verified Coverage'!$G$5:$G$100,"C")</x:f>
        <x:v>1</x:v>
      </x:c>
      <x:c r="H14" s="40" t="n">
        <x:f>COUNTIFS('Verified Coverage'!$B$5:$B$100,$A14,'Verified Coverage'!$G$5:$G$100,"D")</x:f>
        <x:v>4</x:v>
      </x:c>
      <x:c r="I14" s="40" t="n">
        <x:f>COUNTIFS('Verified Coverage'!$B$5:$B$100,$A14,'Verified Coverage'!$G$5:$G$100,"E")</x:f>
        <x:v>0</x:v>
      </x:c>
      <x:c r="J14" s="40" t="n">
        <x:f>SUM(F14:I14)</x:f>
        <x:v>5</x:v>
      </x:c>
      <x:c r="K14" s="40" t="str">
        <x:f>IF(J14&gt;0,"Yes","No")</x:f>
        <x:v>Yes</x:v>
      </x:c>
      <x:c r="L14" s="40" t="n">
        <x:f>IF(J14&gt;0,1,0)</x:f>
        <x:v>1</x:v>
      </x:c>
      <x:c r="M14" s="32" t="str">
        <x:v>Kenan Institute plus four official SEC/ESMA documents.</x:v>
      </x:c>
      <x:c r="N14" s="32" t="str">
        <x:v>Coauthor pages and regulator-by-regulator searches reviewed.</x:v>
      </x:c>
      <x:c r="O14" s="32" t="str">
        <x:v>5 placements; four are high-value policy/regulatory citations spanning 2020–2025.</x:v>
      </x:c>
      <x:c r="P14" s="36" t="str">
        <x:v>https://doi.org/10.1016/j.jacceco.2023.101617</x:v>
      </x:c>
    </x:row>
    <x:row r="15" ht="74" customHeight="1">
      <x:c r="A15" s="32" t="n">
        <x:v>11</x:v>
      </x:c>
      <x:c r="B15" s="32" t="str">
        <x:v>Mandatory Disclosure and Learning from External Market Participants: Evidence from the JOBS Act</x:v>
      </x:c>
      <x:c r="C15" s="32" t="str">
        <x:v>Journal of Accounting and Economics, 2023</x:v>
      </x:c>
      <x:c r="D15" s="32" t="str">
        <x:v>Solo-authored</x:v>
      </x:c>
      <x:c r="E15" s="32" t="str">
        <x:v>JOBS Act / mandatory disclosure / external learning variants searched</x:v>
      </x:c>
      <x:c r="F15" s="40" t="n">
        <x:f>COUNTIFS('Verified Coverage'!$B$5:$B$100,$A15,'Verified Coverage'!$G$5:$G$100,"A")+COUNTIFS('Verified Coverage'!$B$5:$B$100,$A15,'Verified Coverage'!$G$5:$G$100,"B")</x:f>
        <x:v>2</x:v>
      </x:c>
      <x:c r="G15" s="40" t="n">
        <x:f>COUNTIFS('Verified Coverage'!$B$5:$B$100,$A15,'Verified Coverage'!$G$5:$G$100,"C")</x:f>
        <x:v>0</x:v>
      </x:c>
      <x:c r="H15" s="40" t="n">
        <x:f>COUNTIFS('Verified Coverage'!$B$5:$B$100,$A15,'Verified Coverage'!$G$5:$G$100,"D")</x:f>
        <x:v>0</x:v>
      </x:c>
      <x:c r="I15" s="40" t="n">
        <x:f>COUNTIFS('Verified Coverage'!$B$5:$B$100,$A15,'Verified Coverage'!$G$5:$G$100,"E")</x:f>
        <x:v>0</x:v>
      </x:c>
      <x:c r="J15" s="40" t="n">
        <x:f>SUM(F15:I15)</x:f>
        <x:v>2</x:v>
      </x:c>
      <x:c r="K15" s="40" t="str">
        <x:f>IF(J15&gt;0,"Yes","No")</x:f>
        <x:v>Yes</x:v>
      </x:c>
      <x:c r="L15" s="40" t="n">
        <x:f>IF(J15&gt;0,1,0)</x:f>
        <x:v>1</x:v>
      </x:c>
      <x:c r="M15" s="32" t="str">
        <x:v>National Affairs and Contabilidade Financeira directly discuss the paper.</x:v>
      </x:c>
      <x:c r="N15" s="32" t="str">
        <x:v>SEC and policy-domain searches reviewed; no official policy citation found.</x:v>
      </x:c>
      <x:c r="O15" s="32" t="str">
        <x:v>2 verified independent/practitioner placements.</x:v>
      </x:c>
      <x:c r="P15" s="36" t="str">
        <x:v>https://doi.org/10.1016/j.jacceco.2022.101528</x:v>
      </x:c>
    </x:row>
    <x:row r="16" ht="74" customHeight="1">
      <x:c r="A16" s="32" t="n">
        <x:v>12</x:v>
      </x:c>
      <x:c r="B16" s="32" t="str">
        <x:v>The Influence of Short Selling on Negative Press Coverage of Firms</x:v>
      </x:c>
      <x:c r="C16" s="32" t="str">
        <x:v>Management Science, 2023/2024</x:v>
      </x:c>
      <x:c r="D16" s="32" t="str">
        <x:v>Robert Bushman</x:v>
      </x:c>
      <x:c r="E16" s="32" t="str">
        <x:v>CV title: The Influence of Short Selling on the Production and Market Consequences of Negative Press Coverage</x:v>
      </x:c>
      <x:c r="F16" s="40" t="n">
        <x:f>COUNTIFS('Verified Coverage'!$B$5:$B$100,$A16,'Verified Coverage'!$G$5:$G$100,"A")+COUNTIFS('Verified Coverage'!$B$5:$B$100,$A16,'Verified Coverage'!$G$5:$G$100,"B")</x:f>
        <x:v>0</x:v>
      </x:c>
      <x:c r="G16" s="40" t="n">
        <x:f>COUNTIFS('Verified Coverage'!$B$5:$B$100,$A16,'Verified Coverage'!$G$5:$G$100,"C")</x:f>
        <x:v>1</x:v>
      </x:c>
      <x:c r="H16" s="40" t="n">
        <x:f>COUNTIFS('Verified Coverage'!$B$5:$B$100,$A16,'Verified Coverage'!$G$5:$G$100,"D")</x:f>
        <x:v>0</x:v>
      </x:c>
      <x:c r="I16" s="40" t="n">
        <x:f>COUNTIFS('Verified Coverage'!$B$5:$B$100,$A16,'Verified Coverage'!$G$5:$G$100,"E")</x:f>
        <x:v>0</x:v>
      </x:c>
      <x:c r="J16" s="40" t="n">
        <x:f>SUM(F16:I16)</x:f>
        <x:v>1</x:v>
      </x:c>
      <x:c r="K16" s="40" t="str">
        <x:f>IF(J16&gt;0,"Yes","No")</x:f>
        <x:v>Yes</x:v>
      </x:c>
      <x:c r="L16" s="40" t="n">
        <x:f>IF(J16&gt;0,1,0)</x:f>
        <x:v>1</x:v>
      </x:c>
      <x:c r="M16" s="32" t="str">
        <x:v>Kenan Institute published a direct research translation.</x:v>
      </x:c>
      <x:c r="N16" s="32" t="str">
        <x:v>Title variants and coauthor/institutional pages reviewed.</x:v>
      </x:c>
      <x:c r="O16" s="32" t="str">
        <x:v>1 verified institutional research-translation placement.</x:v>
      </x:c>
      <x:c r="P16" s="36" t="str">
        <x:v>https://doi.org/10.1287/mnsc.2023.4783</x:v>
      </x:c>
    </x:row>
    <x:row r="17" ht="74" customHeight="1">
      <x:c r="A17" s="32" t="n">
        <x:v>13</x:v>
      </x:c>
      <x:c r="B17" s="32" t="str">
        <x:v>AI Adoption and the Loss of Learning</x:v>
      </x:c>
      <x:c r="C17" s="32" t="str">
        <x:v>Working paper</x:v>
      </x:c>
      <x:c r="D17" s="32" t="str">
        <x:v>Suresh Radhakrishnan; Josiah Weber</x:v>
      </x:c>
      <x:c r="E17" s="32" t="str">
        <x:v>Knowledge transfer / moral hazard / AI adoption variants searched</x:v>
      </x:c>
      <x:c r="F17" s="40" t="n">
        <x:f>COUNTIFS('Verified Coverage'!$B$5:$B$100,$A17,'Verified Coverage'!$G$5:$G$100,"A")+COUNTIFS('Verified Coverage'!$B$5:$B$100,$A17,'Verified Coverage'!$G$5:$G$100,"B")</x:f>
        <x:v>0</x:v>
      </x:c>
      <x:c r="G17" s="40" t="n">
        <x:f>COUNTIFS('Verified Coverage'!$B$5:$B$100,$A17,'Verified Coverage'!$G$5:$G$100,"C")</x:f>
        <x:v>0</x:v>
      </x:c>
      <x:c r="H17" s="40" t="n">
        <x:f>COUNTIFS('Verified Coverage'!$B$5:$B$100,$A17,'Verified Coverage'!$G$5:$G$100,"D")</x:f>
        <x:v>0</x:v>
      </x:c>
      <x:c r="I17" s="40" t="n">
        <x:f>COUNTIFS('Verified Coverage'!$B$5:$B$100,$A17,'Verified Coverage'!$G$5:$G$100,"E")</x:f>
        <x:v>0</x:v>
      </x:c>
      <x:c r="J17" s="40" t="n">
        <x:f>SUM(F17:I17)</x:f>
        <x:v>0</x:v>
      </x:c>
      <x:c r="K17" s="40" t="str">
        <x:f>IF(J17&gt;0,"Yes","No")</x:f>
        <x:v>No</x:v>
      </x:c>
      <x:c r="L17" s="40" t="n">
        <x:f>IF(J17&gt;0,1,0)</x:f>
        <x:v>0</x:v>
      </x:c>
      <x:c r="M17" s="32" t="str">
        <x:v>No verified public coverage found.</x:v>
      </x:c>
      <x:c r="N17" s="32" t="str">
        <x:v>Title and coauthor searches reviewed.</x:v>
      </x:c>
      <x:c r="O17" s="32" t="str">
        <x:v>0 verified placements; public paper footprint appears limited.</x:v>
      </x:c>
      <x:c r="P17" s="36" t="str">
        <x:v>https://www.jedsonpinto.com/cv.html</x:v>
      </x:c>
    </x:row>
    <x:row r="18" ht="74" customHeight="1">
      <x:c r="A18" s="32" t="n">
        <x:v>14</x:v>
      </x:c>
      <x:c r="B18" s="32" t="str">
        <x:v>Blockchain-Induced Supply-Chain Transparency and Firm Performance: The Role of Capacity Utilization</x:v>
      </x:c>
      <x:c r="C18" s="32" t="str">
        <x:v>Working paper</x:v>
      </x:c>
      <x:c r="D18" s="32" t="str">
        <x:v>Shin Woo Lee; Daniel Rabetti; Gil Sadka</x:v>
      </x:c>
      <x:c r="E18" s="32" t="str">
        <x:v>Blockchain supply-chain transparency / capacity utilization variants searched</x:v>
      </x:c>
      <x:c r="F18" s="40" t="n">
        <x:f>COUNTIFS('Verified Coverage'!$B$5:$B$100,$A18,'Verified Coverage'!$G$5:$G$100,"A")+COUNTIFS('Verified Coverage'!$B$5:$B$100,$A18,'Verified Coverage'!$G$5:$G$100,"B")</x:f>
        <x:v>0</x:v>
      </x:c>
      <x:c r="G18" s="40" t="n">
        <x:f>COUNTIFS('Verified Coverage'!$B$5:$B$100,$A18,'Verified Coverage'!$G$5:$G$100,"C")</x:f>
        <x:v>0</x:v>
      </x:c>
      <x:c r="H18" s="40" t="n">
        <x:f>COUNTIFS('Verified Coverage'!$B$5:$B$100,$A18,'Verified Coverage'!$G$5:$G$100,"D")</x:f>
        <x:v>0</x:v>
      </x:c>
      <x:c r="I18" s="40" t="n">
        <x:f>COUNTIFS('Verified Coverage'!$B$5:$B$100,$A18,'Verified Coverage'!$G$5:$G$100,"E")</x:f>
        <x:v>0</x:v>
      </x:c>
      <x:c r="J18" s="40" t="n">
        <x:f>SUM(F18:I18)</x:f>
        <x:v>0</x:v>
      </x:c>
      <x:c r="K18" s="40" t="str">
        <x:f>IF(J18&gt;0,"Yes","No")</x:f>
        <x:v>No</x:v>
      </x:c>
      <x:c r="L18" s="40" t="n">
        <x:f>IF(J18&gt;0,1,0)</x:f>
        <x:v>0</x:v>
      </x:c>
      <x:c r="M18" s="32" t="str">
        <x:v>No independent media found; several faculty, conference, and social dissemination pages exist.</x:v>
      </x:c>
      <x:c r="N18" s="32" t="str">
        <x:v>HBS faculty, coauthor, conference, and social pages reviewed.</x:v>
      </x:c>
      <x:c r="O18" s="32" t="str">
        <x:v>0 coverage placements; classify the public footprint as academic dissemination.</x:v>
      </x:c>
      <x:c r="P18" s="36" t="str">
        <x:v>https://www.hbs.edu/faculty/Pages/item.aspx?num=67187</x:v>
      </x:c>
    </x:row>
    <x:row r="19" ht="74" customHeight="1">
      <x:c r="A19" s="32" t="n">
        <x:v>15</x:v>
      </x:c>
      <x:c r="B19" s="32" t="str">
        <x:v>Deleting Information: Evidence from the Digital Services Act</x:v>
      </x:c>
      <x:c r="C19" s="32" t="str">
        <x:v>Working paper</x:v>
      </x:c>
      <x:c r="D19" s="32" t="str">
        <x:v>John (Ham) Christensen; Mark Lang</x:v>
      </x:c>
      <x:c r="E19" s="32" t="str">
        <x:v>CV uses 'Digital Service Act'; both singular and official plural title searched</x:v>
      </x:c>
      <x:c r="F19" s="40" t="n">
        <x:f>COUNTIFS('Verified Coverage'!$B$5:$B$100,$A19,'Verified Coverage'!$G$5:$G$100,"A")+COUNTIFS('Verified Coverage'!$B$5:$B$100,$A19,'Verified Coverage'!$G$5:$G$100,"B")</x:f>
        <x:v>0</x:v>
      </x:c>
      <x:c r="G19" s="40" t="n">
        <x:f>COUNTIFS('Verified Coverage'!$B$5:$B$100,$A19,'Verified Coverage'!$G$5:$G$100,"C")</x:f>
        <x:v>0</x:v>
      </x:c>
      <x:c r="H19" s="40" t="n">
        <x:f>COUNTIFS('Verified Coverage'!$B$5:$B$100,$A19,'Verified Coverage'!$G$5:$G$100,"D")</x:f>
        <x:v>0</x:v>
      </x:c>
      <x:c r="I19" s="40" t="n">
        <x:f>COUNTIFS('Verified Coverage'!$B$5:$B$100,$A19,'Verified Coverage'!$G$5:$G$100,"E")</x:f>
        <x:v>0</x:v>
      </x:c>
      <x:c r="J19" s="40" t="n">
        <x:f>SUM(F19:I19)</x:f>
        <x:v>0</x:v>
      </x:c>
      <x:c r="K19" s="40" t="str">
        <x:f>IF(J19&gt;0,"Yes","No")</x:f>
        <x:v>No</x:v>
      </x:c>
      <x:c r="L19" s="40" t="n">
        <x:f>IF(J19&gt;0,1,0)</x:f>
        <x:v>0</x:v>
      </x:c>
      <x:c r="M19" s="32" t="str">
        <x:v>No verified independent coverage found.</x:v>
      </x:c>
      <x:c r="N19" s="32" t="str">
        <x:v>SSRN/title, coauthor, and social searches reviewed.</x:v>
      </x:c>
      <x:c r="O19" s="32" t="str">
        <x:v>0 verified placements; unrelated DSA items were excluded.</x:v>
      </x:c>
      <x:c r="P19" s="36" t="str">
        <x:v>https://www.jedsonpinto.com/cv.html</x:v>
      </x:c>
    </x:row>
    <x:row r="20" ht="74" customHeight="1">
      <x:c r="A20" s="32" t="n">
        <x:v>16</x:v>
      </x:c>
      <x:c r="B20" s="32" t="str">
        <x:v>Earnings Calls and Echo Chambers: Evidence from Introduction of Livestreaming on StockTwits</x:v>
      </x:c>
      <x:c r="C20" s="32" t="str">
        <x:v>Working paper</x:v>
      </x:c>
      <x:c r="D20" s="32" t="str">
        <x:v>Clifton Green; Stanimir Markov; Jeroen Koenraadt</x:v>
      </x:c>
      <x:c r="E20" s="32" t="str">
        <x:v>Livestreaming / StockTwits / earnings calls variants searched</x:v>
      </x:c>
      <x:c r="F20" s="40" t="n">
        <x:f>COUNTIFS('Verified Coverage'!$B$5:$B$100,$A20,'Verified Coverage'!$G$5:$G$100,"A")+COUNTIFS('Verified Coverage'!$B$5:$B$100,$A20,'Verified Coverage'!$G$5:$G$100,"B")</x:f>
        <x:v>0</x:v>
      </x:c>
      <x:c r="G20" s="40" t="n">
        <x:f>COUNTIFS('Verified Coverage'!$B$5:$B$100,$A20,'Verified Coverage'!$G$5:$G$100,"C")</x:f>
        <x:v>0</x:v>
      </x:c>
      <x:c r="H20" s="40" t="n">
        <x:f>COUNTIFS('Verified Coverage'!$B$5:$B$100,$A20,'Verified Coverage'!$G$5:$G$100,"D")</x:f>
        <x:v>0</x:v>
      </x:c>
      <x:c r="I20" s="40" t="n">
        <x:f>COUNTIFS('Verified Coverage'!$B$5:$B$100,$A20,'Verified Coverage'!$G$5:$G$100,"E")</x:f>
        <x:v>0</x:v>
      </x:c>
      <x:c r="J20" s="40" t="n">
        <x:f>SUM(F20:I20)</x:f>
        <x:v>0</x:v>
      </x:c>
      <x:c r="K20" s="40" t="str">
        <x:f>IF(J20&gt;0,"Yes","No")</x:f>
        <x:v>No</x:v>
      </x:c>
      <x:c r="L20" s="40" t="n">
        <x:f>IF(J20&gt;0,1,0)</x:f>
        <x:v>0</x:v>
      </x:c>
      <x:c r="M20" s="32" t="str">
        <x:v>No verified public coverage found.</x:v>
      </x:c>
      <x:c r="N20" s="32" t="str">
        <x:v>Coauthor and conference pages reviewed.</x:v>
      </x:c>
      <x:c r="O20" s="32" t="str">
        <x:v>0 verified placements; conference listings are dissemination, not coverage.</x:v>
      </x:c>
      <x:c r="P20" s="36" t="str">
        <x:v>https://www.jedsonpinto.com/cv.html</x:v>
      </x:c>
    </x:row>
    <x:row r="21" ht="74" customHeight="1">
      <x:c r="A21" s="32" t="n">
        <x:v>17</x:v>
      </x:c>
      <x:c r="B21" s="32" t="str">
        <x:v>Automation and Demand for Accountants: Evidence from Digital Ledger Mandates</x:v>
      </x:c>
      <x:c r="C21" s="32" t="str">
        <x:v>Work in progress</x:v>
      </x:c>
      <x:c r="D21" s="32" t="str">
        <x:v>Gabriel Voelcker; Fabio Costa</x:v>
      </x:c>
      <x:c r="E21" s="32" t="str">
        <x:v>Automation / accountants / digital-ledger mandates variants searched</x:v>
      </x:c>
      <x:c r="F21" s="40" t="n">
        <x:f>COUNTIFS('Verified Coverage'!$B$5:$B$100,$A21,'Verified Coverage'!$G$5:$G$100,"A")+COUNTIFS('Verified Coverage'!$B$5:$B$100,$A21,'Verified Coverage'!$G$5:$G$100,"B")</x:f>
        <x:v>0</x:v>
      </x:c>
      <x:c r="G21" s="40" t="n">
        <x:f>COUNTIFS('Verified Coverage'!$B$5:$B$100,$A21,'Verified Coverage'!$G$5:$G$100,"C")</x:f>
        <x:v>0</x:v>
      </x:c>
      <x:c r="H21" s="40" t="n">
        <x:f>COUNTIFS('Verified Coverage'!$B$5:$B$100,$A21,'Verified Coverage'!$G$5:$G$100,"D")</x:f>
        <x:v>0</x:v>
      </x:c>
      <x:c r="I21" s="40" t="n">
        <x:f>COUNTIFS('Verified Coverage'!$B$5:$B$100,$A21,'Verified Coverage'!$G$5:$G$100,"E")</x:f>
        <x:v>0</x:v>
      </x:c>
      <x:c r="J21" s="40" t="n">
        <x:f>SUM(F21:I21)</x:f>
        <x:v>0</x:v>
      </x:c>
      <x:c r="K21" s="40" t="str">
        <x:f>IF(J21&gt;0,"Yes","No")</x:f>
        <x:v>No</x:v>
      </x:c>
      <x:c r="L21" s="40" t="n">
        <x:f>IF(J21&gt;0,1,0)</x:f>
        <x:v>0</x:v>
      </x:c>
      <x:c r="M21" s="32" t="str">
        <x:v>No paper-specific public coverage found.</x:v>
      </x:c>
      <x:c r="N21" s="32" t="str">
        <x:v>Generic automation/accounting stories were tested and excluded as unrelated.</x:v>
      </x:c>
      <x:c r="O21" s="32" t="str">
        <x:v>0 verified placements.</x:v>
      </x:c>
      <x:c r="P21" s="36" t="str">
        <x:v>https://www.jedsonpinto.com/cv.html</x:v>
      </x:c>
    </x:row>
    <x:row r="22" ht="74" customHeight="1">
      <x:c r="A22" s="32" t="n">
        <x:v>18</x:v>
      </x:c>
      <x:c r="B22" s="32" t="str">
        <x:v>Unmasking the Exchange Rate Exposure Puzzle: How Segment Reporting Quality Reveals Hidden Risks</x:v>
      </x:c>
      <x:c r="C22" s="32" t="str">
        <x:v>Work in progress</x:v>
      </x:c>
      <x:c r="D22" s="32" t="str">
        <x:v>Solo-authored</x:v>
      </x:c>
      <x:c r="E22" s="32" t="str">
        <x:v>Exchange-rate exposure puzzle / segment reporting variants searched</x:v>
      </x:c>
      <x:c r="F22" s="40" t="n">
        <x:f>COUNTIFS('Verified Coverage'!$B$5:$B$100,$A22,'Verified Coverage'!$G$5:$G$100,"A")+COUNTIFS('Verified Coverage'!$B$5:$B$100,$A22,'Verified Coverage'!$G$5:$G$100,"B")</x:f>
        <x:v>0</x:v>
      </x:c>
      <x:c r="G22" s="40" t="n">
        <x:f>COUNTIFS('Verified Coverage'!$B$5:$B$100,$A22,'Verified Coverage'!$G$5:$G$100,"C")</x:f>
        <x:v>0</x:v>
      </x:c>
      <x:c r="H22" s="40" t="n">
        <x:f>COUNTIFS('Verified Coverage'!$B$5:$B$100,$A22,'Verified Coverage'!$G$5:$G$100,"D")</x:f>
        <x:v>0</x:v>
      </x:c>
      <x:c r="I22" s="40" t="n">
        <x:f>COUNTIFS('Verified Coverage'!$B$5:$B$100,$A22,'Verified Coverage'!$G$5:$G$100,"E")</x:f>
        <x:v>0</x:v>
      </x:c>
      <x:c r="J22" s="40" t="n">
        <x:f>SUM(F22:I22)</x:f>
        <x:v>0</x:v>
      </x:c>
      <x:c r="K22" s="40" t="str">
        <x:f>IF(J22&gt;0,"Yes","No")</x:f>
        <x:v>No</x:v>
      </x:c>
      <x:c r="L22" s="40" t="n">
        <x:f>IF(J22&gt;0,1,0)</x:f>
        <x:v>0</x:v>
      </x:c>
      <x:c r="M22" s="32" t="str">
        <x:v>No paper-specific public coverage found.</x:v>
      </x:c>
      <x:c r="N22" s="32" t="str">
        <x:v>Generic exchange-rate-exposure results were excluded.</x:v>
      </x:c>
      <x:c r="O22" s="32" t="str">
        <x:v>0 verified placements.</x:v>
      </x:c>
      <x:c r="P22" s="36" t="str">
        <x:v>https://www.jedsonpinto.com/cv.html</x:v>
      </x:c>
    </x:row>
    <x:row r="23" ht="74" customHeight="1">
      <x:c r="A23" s="32" t="n">
        <x:v>19</x:v>
      </x:c>
      <x:c r="B23" s="32" t="str">
        <x:v>Corporate Events’ Performance and Corporate Governance: The Brazilian Evidence</x:v>
      </x:c>
      <x:c r="C23" s="32" t="str">
        <x:v>Corporate Governance, 2018</x:v>
      </x:c>
      <x:c r="D23" s="32" t="str">
        <x:v>Bruno Funchal</x:v>
      </x:c>
      <x:c r="E23" s="32" t="str">
        <x:v>English title and author combinations searched</x:v>
      </x:c>
      <x:c r="F23" s="40" t="n">
        <x:f>COUNTIFS('Verified Coverage'!$B$5:$B$100,$A23,'Verified Coverage'!$G$5:$G$100,"A")+COUNTIFS('Verified Coverage'!$B$5:$B$100,$A23,'Verified Coverage'!$G$5:$G$100,"B")</x:f>
        <x:v>0</x:v>
      </x:c>
      <x:c r="G23" s="40" t="n">
        <x:f>COUNTIFS('Verified Coverage'!$B$5:$B$100,$A23,'Verified Coverage'!$G$5:$G$100,"C")</x:f>
        <x:v>0</x:v>
      </x:c>
      <x:c r="H23" s="40" t="n">
        <x:f>COUNTIFS('Verified Coverage'!$B$5:$B$100,$A23,'Verified Coverage'!$G$5:$G$100,"D")</x:f>
        <x:v>0</x:v>
      </x:c>
      <x:c r="I23" s="40" t="n">
        <x:f>COUNTIFS('Verified Coverage'!$B$5:$B$100,$A23,'Verified Coverage'!$G$5:$G$100,"E")</x:f>
        <x:v>0</x:v>
      </x:c>
      <x:c r="J23" s="40" t="n">
        <x:f>SUM(F23:I23)</x:f>
        <x:v>0</x:v>
      </x:c>
      <x:c r="K23" s="40" t="str">
        <x:f>IF(J23&gt;0,"Yes","No")</x:f>
        <x:v>No</x:v>
      </x:c>
      <x:c r="L23" s="40" t="n">
        <x:f>IF(J23&gt;0,1,0)</x:f>
        <x:v>0</x:v>
      </x:c>
      <x:c r="M23" s="32" t="str">
        <x:v>No media coverage found. Harvard Law School's corporate-governance program lists the paper among citing studies.</x:v>
      </x:c>
      <x:c r="N23" s="32" t="str">
        <x:v>Citation-list and bibliographic pages reviewed.</x:v>
      </x:c>
      <x:c r="O23" s="32" t="str">
        <x:v>0 coverage placements; Harvard item is academic recognition, not media.</x:v>
      </x:c>
      <x:c r="P23" s="36" t="str">
        <x:v>https://doi.org/10.1108/CG-11-2016-0219</x:v>
      </x:c>
    </x:row>
    <x:row r="24" ht="74" customHeight="1">
      <x:c r="A24" s="32" t="n">
        <x:v>20</x:v>
      </x:c>
      <x:c r="B24" s="32" t="str">
        <x:v>A Influência das Avaliações de Fornecedores na Rescisão de Contratos de Serviços de Exploração e Produção de Petróleo e Gás no Brasil</x:v>
      </x:c>
      <x:c r="C24" s="32" t="str">
        <x:v>Revista de Educação e Pesquisa em Contabilidade, 2016</x:v>
      </x:c>
      <x:c r="D24" s="32" t="str">
        <x:v>Cleison Pinto; Danilo Monte-Mor</x:v>
      </x:c>
      <x:c r="E24" s="32" t="str">
        <x:v>Portuguese title, author combinations, and English concept variants searched</x:v>
      </x:c>
      <x:c r="F24" s="40" t="n">
        <x:f>COUNTIFS('Verified Coverage'!$B$5:$B$100,$A24,'Verified Coverage'!$G$5:$G$100,"A")+COUNTIFS('Verified Coverage'!$B$5:$B$100,$A24,'Verified Coverage'!$G$5:$G$100,"B")</x:f>
        <x:v>0</x:v>
      </x:c>
      <x:c r="G24" s="40" t="n">
        <x:f>COUNTIFS('Verified Coverage'!$B$5:$B$100,$A24,'Verified Coverage'!$G$5:$G$100,"C")</x:f>
        <x:v>0</x:v>
      </x:c>
      <x:c r="H24" s="40" t="n">
        <x:f>COUNTIFS('Verified Coverage'!$B$5:$B$100,$A24,'Verified Coverage'!$G$5:$G$100,"D")</x:f>
        <x:v>0</x:v>
      </x:c>
      <x:c r="I24" s="40" t="n">
        <x:f>COUNTIFS('Verified Coverage'!$B$5:$B$100,$A24,'Verified Coverage'!$G$5:$G$100,"E")</x:f>
        <x:v>0</x:v>
      </x:c>
      <x:c r="J24" s="40" t="n">
        <x:f>SUM(F24:I24)</x:f>
        <x:v>0</x:v>
      </x:c>
      <x:c r="K24" s="40" t="str">
        <x:f>IF(J24&gt;0,"Yes","No")</x:f>
        <x:v>No</x:v>
      </x:c>
      <x:c r="L24" s="40" t="n">
        <x:f>IF(J24&gt;0,1,0)</x:f>
        <x:v>0</x:v>
      </x:c>
      <x:c r="M24" s="32" t="str">
        <x:v>No media or practitioner coverage found.</x:v>
      </x:c>
      <x:c r="N24" s="32" t="str">
        <x:v>REPeC, ResearchGate, and academic citation results reviewed.</x:v>
      </x:c>
      <x:c r="O24" s="32" t="str">
        <x:v>0 verified placements; academic citations are outside the media count.</x:v>
      </x:c>
      <x:c r="P24" s="36" t="str">
        <x:v>https://doi.org/10.17524/repec.v10i1.1336</x:v>
      </x:c>
    </x:row>
  </x:sheetData>
  <x:mergeCells>
    <x:mergeCell ref="A1:P1"/>
    <x:mergeCell ref="A2:P2"/>
  </x:mergeCells>
  <x:conditionalFormatting sqref="K5:K24">
    <x:cfRule type="expression" dxfId="4" priority="1">
      <x:formula>K5="Yes"</x:formula>
    </x:cfRule>
    <x:cfRule type="expression" dxfId="5" priority="2">
      <x:formula>K5="No"</x:formula>
    </x:cfRule>
  </x:conditionalFormatting>
  <x:conditionalFormatting sqref="J5:J24">
    <x:cfRule type="dataBar" priority="3">
      <x:dataBar>
        <x:cfvo type="min"/>
        <x:cfvo type="max"/>
        <x:color rgb="FF0E7490"/>
      </x:dataBar>
      <x:extLst>
        <x:ext xmlns:x14="http://schemas.microsoft.com/office/spreadsheetml/2009/9/main" uri="{B025F937-C7B1-47D3-B67F-A62EFF666E3E}">
          <x14:id>{C58F9C89-7A11-5962-CF7A-0D91290EEE1F}</x14:id>
        </x:ext>
      </x:extLst>
    </x:cfRule>
  </x:conditionalFormatting>
  <x:pageMargins left="0.7" right="0.7" top="0.75" bottom="0.75" header="0.3" footer="0.3"/>
  <x:tableParts count="1">
    <x:tablePart xmlns:r="http://schemas.openxmlformats.org/officeDocument/2006/relationships" r:id="R994e03fcd5a544c1"/>
  </x:tableParts>
  <x:extLst>
    <x:ext xmlns:x14="http://schemas.microsoft.com/office/spreadsheetml/2009/9/main" xmlns:xm="http://schemas.microsoft.com/office/excel/2006/main" uri="{78C0D931-6437-407d-A8EE-F0AAD7539E65}">
      <x14:conditionalFormattings>
        <x14:conditionalFormatting>
          <x14:cfRule type="dataBar" priority="3" id="{C58F9C89-7A11-5962-CF7A-0D91290EEE1F}">
            <x14:dataBar gradient="1">
              <x14:cfvo type="min"/>
              <x14:cfvo type="max"/>
              <x14:fillColor rgb="FF0E7490"/>
            </x14:dataBar>
          </x14:cfRule>
          <xm:sqref>J5:J24</xm:sqref>
        </x14:conditionalFormatting>
      </x14:conditionalFormattings>
    </x:ext>
  </x:extLst>
</x:worksheet>
</file>

<file path=xl/worksheets/sheet4.xml><?xml version="1.0" encoding="utf-8"?>
<x:worksheet xmlns:x="http://schemas.openxmlformats.org/spreadsheetml/2006/main">
  <x:sheetFormatPr defaultRowHeight="15"/>
  <x:cols>
    <x:col min="1" max="1" width="7" hidden="0" customWidth="1"/>
    <x:col min="2" max="2" width="8" hidden="0" customWidth="1"/>
    <x:col min="3" max="3" width="28" hidden="0" customWidth="1"/>
    <x:col min="4" max="4" width="48" hidden="0" customWidth="1"/>
    <x:col min="5" max="5" width="25" hidden="0" customWidth="1"/>
    <x:col min="6" max="6" width="45" hidden="0" customWidth="1"/>
    <x:col min="7" max="7" width="40" hidden="0" customWidth="1"/>
  </x:cols>
  <x:sheetData>
    <x:row r="1" ht="34" customHeight="1">
      <x:c r="A1" s="5" t="str">
        <x:v>Research Dissemination and Discoverability — Not Counted as Media</x:v>
      </x:c>
      <x:c r="B1" s="5"/>
      <x:c r="C1" s="5"/>
      <x:c r="D1" s="5"/>
      <x:c r="E1" s="5"/>
      <x:c r="F1" s="5"/>
      <x:c r="G1" s="5"/>
    </x:row>
    <x:row r="2" ht="28" customHeight="1">
      <x:c r="A2" s="14" t="str">
        <x:v>Publisher pages, coauthor pages, repositories, citation databases, social/institutional promotion, and academic recognition are preserved here without inflating the coverage total.</x:v>
      </x:c>
      <x:c r="B2" s="14"/>
      <x:c r="C2" s="14"/>
      <x:c r="D2" s="14"/>
      <x:c r="E2" s="14"/>
      <x:c r="F2" s="14"/>
      <x:c r="G2" s="14"/>
    </x:row>
    <x:row r="4" ht="30" customHeight="1">
      <x:c r="A4" s="24" t="str">
        <x:v>ID</x:v>
      </x:c>
      <x:c r="B4" s="24" t="str">
        <x:v>Paper #</x:v>
      </x:c>
      <x:c r="C4" s="24" t="str">
        <x:v>Source</x:v>
      </x:c>
      <x:c r="D4" s="24" t="str">
        <x:v>What it shows</x:v>
      </x:c>
      <x:c r="E4" s="24" t="str">
        <x:v>Type</x:v>
      </x:c>
      <x:c r="F4" s="24" t="str">
        <x:v>URL</x:v>
      </x:c>
      <x:c r="G4" s="24" t="str">
        <x:v>Counting note</x:v>
      </x:c>
    </x:row>
    <x:row r="5" ht="56" customHeight="1">
      <x:c r="A5" s="32" t="n">
        <x:v>1</x:v>
      </x:c>
      <x:c r="B5" s="32" t="n">
        <x:v>1</x:v>
      </x:c>
      <x:c r="C5" s="32" t="str">
        <x:v>Tuhin Harit research page</x:v>
      </x:c>
      <x:c r="D5" s="32" t="str">
        <x:v>Coauthor page identifies the judge-finance paper and claims ELSBlog media coverage.</x:v>
      </x:c>
      <x:c r="E5" s="32" t="str">
        <x:v>Coauthor page</x:v>
      </x:c>
      <x:c r="F5" s="36" t="str">
        <x:v>https://sites.google.com/view/tuhinharit/research</x:v>
      </x:c>
      <x:c r="G5" s="32" t="str">
        <x:v>Useful lead; not counted without the underlying story.</x:v>
      </x:c>
    </x:row>
    <x:row r="6" ht="56" customHeight="1">
      <x:c r="A6" s="32" t="n">
        <x:v>2</x:v>
      </x:c>
      <x:c r="B6" s="32" t="n">
        <x:v>1</x:v>
      </x:c>
      <x:c r="C6" s="32" t="str">
        <x:v>Sunil Parupati research page</x:v>
      </x:c>
      <x:c r="D6" s="32" t="str">
        <x:v>Coauthor page claims CLS Blue Sky and Empirical Legal Studies Blog coverage in 2022 and 2023.</x:v>
      </x:c>
      <x:c r="E6" s="32" t="str">
        <x:v>Coauthor page</x:v>
      </x:c>
      <x:c r="F6" s="36" t="str">
        <x:v>https://sunilparupati.com/</x:v>
      </x:c>
      <x:c r="G6" s="32" t="str">
        <x:v>Useful lead; the recovered CLS page only cites the paper indirectly.</x:v>
      </x:c>
    </x:row>
    <x:row r="7" ht="56" customHeight="1">
      <x:c r="A7" s="32" t="n">
        <x:v>3</x:v>
      </x:c>
      <x:c r="B7" s="32" t="n">
        <x:v>3</x:v>
      </x:c>
      <x:c r="C7" s="32" t="str">
        <x:v>Scholars@Duke</x:v>
      </x:c>
      <x:c r="D7" s="32" t="str">
        <x:v>Publication record for On the Usefulness of Guidance Reports, including abstract and DOI.</x:v>
      </x:c>
      <x:c r="E7" s="32" t="str">
        <x:v>Repository / author institution</x:v>
      </x:c>
      <x:c r="F7" s="36" t="str">
        <x:v>https://scholars.duke.edu/publication/1909751</x:v>
      </x:c>
      <x:c r="G7" s="32" t="str">
        <x:v>Dissemination and discoverability, not coverage.</x:v>
      </x:c>
    </x:row>
    <x:row r="8" ht="56" customHeight="1">
      <x:c r="A8" s="32" t="n">
        <x:v>4</x:v>
      </x:c>
      <x:c r="B8" s="32" t="n">
        <x:v>4</x:v>
      </x:c>
      <x:c r="C8" s="32" t="str">
        <x:v>Springer Nature</x:v>
      </x:c>
      <x:c r="D8" s="32" t="str">
        <x:v>Publisher page for the country-label sensitivity paper.</x:v>
      </x:c>
      <x:c r="E8" s="32" t="str">
        <x:v>Publisher page</x:v>
      </x:c>
      <x:c r="F8" s="36" t="str">
        <x:v>https://doi.org/10.1007/s10551-026-06385-7</x:v>
      </x:c>
      <x:c r="G8" s="32" t="str">
        <x:v>Very recent publication; monitor for lagged coverage.</x:v>
      </x:c>
    </x:row>
    <x:row r="9" ht="56" customHeight="1">
      <x:c r="A9" s="32" t="n">
        <x:v>5</x:v>
      </x:c>
      <x:c r="B9" s="32" t="n">
        <x:v>6</x:v>
      </x:c>
      <x:c r="C9" s="32" t="str">
        <x:v>Springer Nature / JIBS</x:v>
      </x:c>
      <x:c r="D9" s="32" t="str">
        <x:v>Publisher page for Beyond Words.</x:v>
      </x:c>
      <x:c r="E9" s="32" t="str">
        <x:v>Publisher page</x:v>
      </x:c>
      <x:c r="F9" s="36" t="str">
        <x:v>https://doi.org/10.1057/s41267-025-00798-8</x:v>
      </x:c>
      <x:c r="G9" s="32" t="str">
        <x:v>Publisher visibility, not independent coverage.</x:v>
      </x:c>
    </x:row>
    <x:row r="10" ht="56" customHeight="1">
      <x:c r="A10" s="32" t="n">
        <x:v>6</x:v>
      </x:c>
      <x:c r="B10" s="32" t="n">
        <x:v>7</x:v>
      </x:c>
      <x:c r="C10" s="32" t="str">
        <x:v>Edward Sul — Publications</x:v>
      </x:c>
      <x:c r="D10" s="32" t="str">
        <x:v>Coauthor publication page describing the cross-listed-firm reporting paper.</x:v>
      </x:c>
      <x:c r="E10" s="32" t="str">
        <x:v>Coauthor page</x:v>
      </x:c>
      <x:c r="F10" s="36" t="str">
        <x:v>https://sites.google.com/view/edward-sul/publications</x:v>
      </x:c>
      <x:c r="G10" s="32" t="str">
        <x:v>Dissemination, not media.</x:v>
      </x:c>
    </x:row>
    <x:row r="11" ht="56" customHeight="1">
      <x:c r="A11" s="32" t="n">
        <x:v>7</x:v>
      </x:c>
      <x:c r="B11" s="32" t="n">
        <x:v>8</x:v>
      </x:c>
      <x:c r="C11" s="32" t="str">
        <x:v>Ideagen Audit Intelligence citations</x:v>
      </x:c>
      <x:c r="D11" s="32" t="str">
        <x:v>Journal/article citation listing that increases discoverability.</x:v>
      </x:c>
      <x:c r="E11" s="32" t="str">
        <x:v>Database / citation listing</x:v>
      </x:c>
      <x:c r="F11" s="36" t="str">
        <x:v>https://www.ideagen.com/solutions/compliance/audit-intelligence/citations</x:v>
      </x:c>
      <x:c r="G11" s="32" t="str">
        <x:v>Not media coverage.</x:v>
      </x:c>
    </x:row>
    <x:row r="12" ht="56" customHeight="1">
      <x:c r="A12" s="32" t="n">
        <x:v>8</x:v>
      </x:c>
      <x:c r="B12" s="32" t="n">
        <x:v>9</x:v>
      </x:c>
      <x:c r="C12" s="32" t="str">
        <x:v>UEA Pure — Press/Media record</x:v>
      </x:c>
      <x:c r="D12" s="32" t="str">
        <x:v>Institutional clipping record confirms five GDPR press/media placements.</x:v>
      </x:c>
      <x:c r="E12" s="32" t="str">
        <x:v>Institutional clipping index</x:v>
      </x:c>
      <x:c r="F12" s="36" t="str">
        <x:v>https://research-portal.uea.ac.uk/en/publications/regulating-data-evidence-from-corporate-america/clippings/</x:v>
      </x:c>
      <x:c r="G12" s="32" t="str">
        <x:v>Useful corroboration for the syndication chain.</x:v>
      </x:c>
    </x:row>
    <x:row r="13" ht="56" customHeight="1">
      <x:c r="A13" s="32" t="n">
        <x:v>9</x:v>
      </x:c>
      <x:c r="B13" s="32" t="n">
        <x:v>10</x:v>
      </x:c>
      <x:c r="C13" s="32" t="str">
        <x:v>Kenan Institute</x:v>
      </x:c>
      <x:c r="D13" s="32" t="str">
        <x:v>Research translation page for MiFID II unbundling.</x:v>
      </x:c>
      <x:c r="E13" s="32" t="str">
        <x:v>Institutional translation</x:v>
      </x:c>
      <x:c r="F13" s="36" t="str">
        <x:v>https://kenaninstitute.unc.edu/publication/mifid-ii-unbundling-and-sell-side-analyst-research/</x:v>
      </x:c>
      <x:c r="G13" s="32" t="str">
        <x:v>Counted in Verified Coverage.</x:v>
      </x:c>
    </x:row>
    <x:row r="14" ht="56" customHeight="1">
      <x:c r="A14" s="32" t="n">
        <x:v>10</x:v>
      </x:c>
      <x:c r="B14" s="32" t="n">
        <x:v>12</x:v>
      </x:c>
      <x:c r="C14" s="32" t="str">
        <x:v>Kenan Institute</x:v>
      </x:c>
      <x:c r="D14" s="32" t="str">
        <x:v>Research translation page for the short-selling paper.</x:v>
      </x:c>
      <x:c r="E14" s="32" t="str">
        <x:v>Institutional translation</x:v>
      </x:c>
      <x:c r="F14" s="36" t="str">
        <x:v>https://kenaninstitute.unc.edu/publication/the-influence-of-short-selling-on-negative-press-coverage-of-firms/</x:v>
      </x:c>
      <x:c r="G14" s="32" t="str">
        <x:v>Counted in Verified Coverage.</x:v>
      </x:c>
    </x:row>
    <x:row r="15" ht="56" customHeight="1">
      <x:c r="A15" s="32" t="n">
        <x:v>11</x:v>
      </x:c>
      <x:c r="B15" s="32" t="n">
        <x:v>14</x:v>
      </x:c>
      <x:c r="C15" s="32" t="str">
        <x:v>Harvard Business School faculty item</x:v>
      </x:c>
      <x:c r="D15" s="32" t="str">
        <x:v>Faculty/publication page for the blockchain supply-chain transparency working paper.</x:v>
      </x:c>
      <x:c r="E15" s="32" t="str">
        <x:v>Faculty / repository page</x:v>
      </x:c>
      <x:c r="F15" s="36" t="str">
        <x:v>https://www.hbs.edu/faculty/Pages/item.aspx?num=67187</x:v>
      </x:c>
      <x:c r="G15" s="32" t="str">
        <x:v>Academic dissemination, not media.</x:v>
      </x:c>
    </x:row>
    <x:row r="16" ht="56" customHeight="1">
      <x:c r="A16" s="32" t="n">
        <x:v>12</x:v>
      </x:c>
      <x:c r="B16" s="32" t="n">
        <x:v>19</x:v>
      </x:c>
      <x:c r="C16" s="32" t="str">
        <x:v>Harvard Law School Program on Corporate Governance</x:v>
      </x:c>
      <x:c r="D16" s="32" t="str">
        <x:v>The Brazilian governance paper appears on a list of studies citing a major governance index paper.</x:v>
      </x:c>
      <x:c r="E16" s="32" t="str">
        <x:v>Academic recognition</x:v>
      </x:c>
      <x:c r="F16" s="36" t="str">
        <x:v>https://pcg.law.harvard.edu/links-to-studies-that-cite-the-what-matters-in-corporate-governance/</x:v>
      </x:c>
      <x:c r="G16" s="32" t="str">
        <x:v>Recognition, not coverage of Pinto &amp; Funchal itself.</x:v>
      </x:c>
    </x:row>
    <x:row r="17" ht="56" customHeight="1">
      <x:c r="A17" s="32" t="n">
        <x:v>13</x:v>
      </x:c>
      <x:c r="B17" s="32" t="n">
        <x:v>20</x:v>
      </x:c>
      <x:c r="C17" s="32" t="str">
        <x:v>REPeC / DOI record</x:v>
      </x:c>
      <x:c r="D17" s="32" t="str">
        <x:v>Official publication record for the Portuguese-language supplier-evaluation paper.</x:v>
      </x:c>
      <x:c r="E17" s="32" t="str">
        <x:v>Journal page</x:v>
      </x:c>
      <x:c r="F17" s="36" t="str">
        <x:v>https://doi.org/10.17524/repec.v10i1.1336</x:v>
      </x:c>
      <x:c r="G17" s="32" t="str">
        <x:v>Publication metadata only.</x:v>
      </x:c>
    </x:row>
  </x:sheetData>
  <x:mergeCells>
    <x:mergeCell ref="A1:G1"/>
    <x:mergeCell ref="A2:G2"/>
  </x:mergeCells>
  <x:pageMargins left="0.7" right="0.7" top="0.75" bottom="0.75" header="0.3" footer="0.3"/>
  <x:tableParts count="1">
    <x:tablePart xmlns:r="http://schemas.openxmlformats.org/officeDocument/2006/relationships" r:id="R8863c42a9a7743f9"/>
  </x:tableParts>
</x:worksheet>
</file>

<file path=xl/worksheets/sheet5.xml><?xml version="1.0" encoding="utf-8"?>
<x:worksheet xmlns:x="http://schemas.openxmlformats.org/spreadsheetml/2006/main">
  <x:sheetFormatPr defaultRowHeight="15"/>
  <x:cols>
    <x:col min="1" max="1" width="7" hidden="0" customWidth="1"/>
    <x:col min="2" max="2" width="9" hidden="0" customWidth="1"/>
    <x:col min="3" max="3" width="34" hidden="0" customWidth="1"/>
    <x:col min="4" max="4" width="26" hidden="0" customWidth="1"/>
    <x:col min="5" max="5" width="24" hidden="0" customWidth="1"/>
    <x:col min="6" max="6" width="48" hidden="0" customWidth="1"/>
    <x:col min="7" max="7" width="42" hidden="0" customWidth="1"/>
    <x:col min="8" max="8" width="42" hidden="0" customWidth="1"/>
  </x:cols>
  <x:sheetData>
    <x:row r="1" ht="34" customHeight="1">
      <x:c r="A1" s="5" t="str">
        <x:v>Unverified Leads, Near Misses, and Exclusions</x:v>
      </x:c>
      <x:c r="B1" s="5"/>
      <x:c r="C1" s="5"/>
      <x:c r="D1" s="5"/>
      <x:c r="E1" s="5"/>
      <x:c r="F1" s="5"/>
      <x:c r="G1" s="5"/>
      <x:c r="H1" s="5"/>
    </x:row>
    <x:row r="2" ht="28" customHeight="1">
      <x:c r="A2" s="14" t="str">
        <x:v>This sheet documents what was tested but not counted, so the audit is reproducible and the dossier does not overclaim.</x:v>
      </x:c>
      <x:c r="B2" s="14"/>
      <x:c r="C2" s="14"/>
      <x:c r="D2" s="14"/>
      <x:c r="E2" s="14"/>
      <x:c r="F2" s="14"/>
      <x:c r="G2" s="14"/>
      <x:c r="H2" s="14"/>
    </x:row>
    <x:row r="4" ht="30" customHeight="1">
      <x:c r="A4" s="24" t="str">
        <x:v>ID</x:v>
      </x:c>
      <x:c r="B4" s="24" t="str">
        <x:v>Paper #</x:v>
      </x:c>
      <x:c r="C4" s="24" t="str">
        <x:v>Lead / candidate</x:v>
      </x:c>
      <x:c r="D4" s="24" t="str">
        <x:v>Source type</x:v>
      </x:c>
      <x:c r="E4" s="24" t="str">
        <x:v>Status</x:v>
      </x:c>
      <x:c r="F4" s="24" t="str">
        <x:v>Why not counted / warning</x:v>
      </x:c>
      <x:c r="G4" s="24" t="str">
        <x:v>URL</x:v>
      </x:c>
      <x:c r="H4" s="24" t="str">
        <x:v>Next action</x:v>
      </x:c>
    </x:row>
    <x:row r="5" ht="68" customHeight="1">
      <x:c r="A5" s="32" t="n">
        <x:v>1</x:v>
      </x:c>
      <x:c r="B5" s="32" t="n">
        <x:v>1</x:v>
      </x:c>
      <x:c r="C5" s="32" t="str">
        <x:v>Empirical Legal Studies Blog coverage — one or more posts</x:v>
      </x:c>
      <x:c r="D5" s="32" t="str">
        <x:v>Tuhin Harit page</x:v>
      </x:c>
      <x:c r="E5" s="32" t="str">
        <x:v>Unverified lead</x:v>
      </x:c>
      <x:c r="F5" s="32" t="str">
        <x:v>Coauthor page says 'Media Coverage: ELSblog,' but no direct post URL was recovered.</x:v>
      </x:c>
      <x:c r="G5" s="36" t="str">
        <x:v>https://sites.google.com/view/tuhinharit/research</x:v>
      </x:c>
      <x:c r="H5" s="32" t="str">
        <x:v>Ask Tuhin for the clipping or search archived ELSBlog pages in Wayback / Factiva.</x:v>
      </x:c>
    </x:row>
    <x:row r="6" ht="68" customHeight="1">
      <x:c r="A6" s="32" t="n">
        <x:v>2</x:v>
      </x:c>
      <x:c r="B6" s="32" t="n">
        <x:v>1</x:v>
      </x:c>
      <x:c r="C6" s="32" t="str">
        <x:v>Empirical Legal Studies Blog — 2022 item</x:v>
      </x:c>
      <x:c r="D6" s="32" t="str">
        <x:v>Sunil Parupati page</x:v>
      </x:c>
      <x:c r="E6" s="32" t="str">
        <x:v>Unverified lead</x:v>
      </x:c>
      <x:c r="F6" s="32" t="str">
        <x:v>Coauthor page expressly claims ELS Blog coverage in 2022.</x:v>
      </x:c>
      <x:c r="G6" s="36" t="str">
        <x:v>https://sunilparupati.com/</x:v>
      </x:c>
      <x:c r="H6" s="32" t="str">
        <x:v>Request the exact link or archived PDF from the coauthor.</x:v>
      </x:c>
    </x:row>
    <x:row r="7" ht="68" customHeight="1">
      <x:c r="A7" s="32" t="n">
        <x:v>3</x:v>
      </x:c>
      <x:c r="B7" s="32" t="n">
        <x:v>1</x:v>
      </x:c>
      <x:c r="C7" s="32" t="str">
        <x:v>Empirical Legal Studies Blog — 2023 item</x:v>
      </x:c>
      <x:c r="D7" s="32" t="str">
        <x:v>Sunil Parupati page</x:v>
      </x:c>
      <x:c r="E7" s="32" t="str">
        <x:v>Unverified lead</x:v>
      </x:c>
      <x:c r="F7" s="32" t="str">
        <x:v>Coauthor page expressly claims ELS Blog coverage in 2023.</x:v>
      </x:c>
      <x:c r="G7" s="36" t="str">
        <x:v>https://sunilparupati.com/</x:v>
      </x:c>
      <x:c r="H7" s="32" t="str">
        <x:v>Request the exact link or archived PDF from the coauthor.</x:v>
      </x:c>
    </x:row>
    <x:row r="8" ht="68" customHeight="1">
      <x:c r="A8" s="32" t="n">
        <x:v>4</x:v>
      </x:c>
      <x:c r="B8" s="32" t="n">
        <x:v>1</x:v>
      </x:c>
      <x:c r="C8" s="32" t="str">
        <x:v>CLS Blue Sky Blog claim on coauthor page</x:v>
      </x:c>
      <x:c r="D8" s="32" t="str">
        <x:v>CLS Blue Sky Blog</x:v>
      </x:c>
      <x:c r="E8" s="32" t="str">
        <x:v>Excluded as direct coverage</x:v>
      </x:c>
      <x:c r="F8" s="32" t="str">
        <x:v>The recovered article is about a different paper, 'Just Friends?', and only cites Harit et al. as related research.</x:v>
      </x:c>
      <x:c r="G8" s="36" t="str">
        <x:v>https://clsbluesky.law.columbia.edu/2024/07/25/just-friends-managers-connections-to-judges/</x:v>
      </x:c>
      <x:c r="H8" s="32" t="str">
        <x:v>Do not count as coverage of the judge-finance paper unless a different CLS item is produced.</x:v>
      </x:c>
    </x:row>
    <x:row r="9" ht="68" customHeight="1">
      <x:c r="A9" s="32" t="n">
        <x:v>5</x:v>
      </x:c>
      <x:c r="B9" s="32" t="n">
        <x:v>10</x:v>
      </x:c>
      <x:c r="C9" s="32" t="str">
        <x:v>European Commission SME research report</x:v>
      </x:c>
      <x:c r="D9" s="32" t="str">
        <x:v>European Commission / EU domain search</x:v>
      </x:c>
      <x:c r="E9" s="32" t="str">
        <x:v>Excluded</x:v>
      </x:c>
      <x:c r="F9" s="32" t="str">
        <x:v>The report is topically related to MiFID II research unbundling, but an exact Lang–Pinto–Sul citation was not found.</x:v>
      </x:c>
      <x:c r="G9" s="36" t="str">
        <x:v>https://finance.ec.europa.eu/publications_en</x:v>
      </x:c>
      <x:c r="H9" s="32" t="str">
        <x:v>Retain only the four verified SEC/ESMA documents.</x:v>
      </x:c>
    </x:row>
    <x:row r="10" ht="68" customHeight="1">
      <x:c r="A10" s="32" t="n">
        <x:v>6</x:v>
      </x:c>
      <x:c r="B10" s="32" t="str">
        <x:v>All</x:v>
      </x:c>
      <x:c r="C10" s="32" t="str">
        <x:v>SEC public comment letters</x:v>
      </x:c>
      <x:c r="D10" s="32" t="str">
        <x:v>SEC comment-file searches</x:v>
      </x:c>
      <x:c r="E10" s="32" t="str">
        <x:v>No exact match found</x:v>
      </x:c>
      <x:c r="F10" s="32" t="str">
        <x:v>Searches by Jedson Pinto, coauthor combinations, and exact titles did not produce a verified public comment letter citing the papers.</x:v>
      </x:c>
      <x:c r="G10" s="36" t="str">
        <x:v>https://www.sec.gov/comments</x:v>
      </x:c>
      <x:c r="H10" s="32" t="str">
        <x:v>A paid full-text regulatory database could provide an additional check.</x:v>
      </x:c>
    </x:row>
    <x:row r="11" ht="68" customHeight="1">
      <x:c r="A11" s="32" t="n">
        <x:v>7</x:v>
      </x:c>
      <x:c r="B11" s="32" t="str">
        <x:v>All</x:v>
      </x:c>
      <x:c r="C11" s="32" t="str">
        <x:v>FASB / PCAOB / IFRS / IOSCO / OECD / World Bank targeted searches</x:v>
      </x:c>
      <x:c r="D11" s="32" t="str">
        <x:v>Official-domain searches</x:v>
      </x:c>
      <x:c r="E11" s="32" t="str">
        <x:v>No exact match found</x:v>
      </x:c>
      <x:c r="F11" s="32" t="str">
        <x:v>No exact title or author match was verified in the targeted public-web searches.</x:v>
      </x:c>
      <x:c r="G11" s="36" t="str">
        <x:v>https://www.fasb.org/</x:v>
      </x:c>
      <x:c r="H11" s="32" t="str">
        <x:v>Treat this as 'not found in the public-web audit,' not proof that no offline use exists.</x:v>
      </x:c>
    </x:row>
    <x:row r="12" ht="68" customHeight="1">
      <x:c r="A12" s="32" t="n">
        <x:v>8</x:v>
      </x:c>
      <x:c r="B12" s="32" t="n">
        <x:v>5</x:v>
      </x:c>
      <x:c r="C12" s="32" t="str">
        <x:v>SignNow and similar SEO pages</x:v>
      </x:c>
      <x:c r="D12" s="32" t="str">
        <x:v>Search-engine results</x:v>
      </x:c>
      <x:c r="E12" s="32" t="str">
        <x:v>Excluded</x:v>
      </x:c>
      <x:c r="F12" s="32" t="str">
        <x:v>Auto-generated or SEO-driven links are not editorial treatment and were excluded.</x:v>
      </x:c>
      <x:c r="G12" s="36" t="str">
        <x:v>https://www.signnow.com/</x:v>
      </x:c>
      <x:c r="H12" s="32" t="str">
        <x:v>No action needed.</x:v>
      </x:c>
    </x:row>
    <x:row r="13" ht="68" customHeight="1">
      <x:c r="A13" s="32" t="n">
        <x:v>9</x:v>
      </x:c>
      <x:c r="B13" s="32" t="n">
        <x:v>15</x:v>
      </x:c>
      <x:c r="C13" s="32" t="str">
        <x:v>Digital Services Act Reddit result</x:v>
      </x:c>
      <x:c r="D13" s="32" t="str">
        <x:v>Reddit/search result</x:v>
      </x:c>
      <x:c r="E13" s="32" t="str">
        <x:v>Excluded</x:v>
      </x:c>
      <x:c r="F13" s="32" t="str">
        <x:v>The surfaced discussion predates or does not concern the specific Christensen–Lang–Pinto paper.</x:v>
      </x:c>
      <x:c r="G13" s="36" t="str">
        <x:v>https://www.reddit.com/</x:v>
      </x:c>
      <x:c r="H13" s="32" t="str">
        <x:v>No action needed.</x:v>
      </x:c>
    </x:row>
    <x:row r="14" ht="68" customHeight="1">
      <x:c r="A14" s="32" t="n">
        <x:v>10</x:v>
      </x:c>
      <x:c r="B14" s="32" t="n">
        <x:v>7</x:v>
      </x:c>
      <x:c r="C14" s="32" t="str">
        <x:v>TOITOI Blog explainer</x:v>
      </x:c>
      <x:c r="D14" s="32" t="str">
        <x:v>Direct page</x:v>
      </x:c>
      <x:c r="E14" s="32" t="str">
        <x:v>Counted with warning</x:v>
      </x:c>
      <x:c r="F14" s="32" t="str">
        <x:v>The item directly covers the paper, but some stated sample/method details appear inconsistent.</x:v>
      </x:c>
      <x:c r="G14" s="36" t="str">
        <x:v>https://toitoi-blog.com/sec-reporting-changes/</x:v>
      </x:c>
      <x:c r="H14" s="32" t="str">
        <x:v>Keep in the archive; omit from the headline dossier unless independently validated.</x:v>
      </x:c>
    </x:row>
    <x:row r="15" ht="68" customHeight="1">
      <x:c r="A15" s="32" t="n">
        <x:v>11</x:v>
      </x:c>
      <x:c r="B15" s="32" t="str">
        <x:v>All</x:v>
      </x:c>
      <x:c r="C15" s="32" t="str">
        <x:v>Academic citations, repositories, conference pages, self-posts, and database records</x:v>
      </x:c>
      <x:c r="D15" s="32" t="str">
        <x:v>Multiple sources</x:v>
      </x:c>
      <x:c r="E15" s="32" t="str">
        <x:v>Excluded from media total</x:v>
      </x:c>
      <x:c r="F15" s="32" t="str">
        <x:v>These may demonstrate scholarly visibility or dissemination but are not independent media or policy use.</x:v>
      </x:c>
      <x:c r="G15" s="36" t="str">
        <x:v>https://www.jedsonpinto.com/cv.html</x:v>
      </x:c>
      <x:c r="H15" s="32" t="str">
        <x:v>Report them in a separate dissemination appendix, not in the media count.</x:v>
      </x:c>
    </x:row>
  </x:sheetData>
  <x:mergeCells>
    <x:mergeCell ref="A1:H1"/>
    <x:mergeCell ref="A2:H2"/>
  </x:mergeCells>
  <x:conditionalFormatting sqref="E5:E15">
    <x:cfRule type="expression" dxfId="6" priority="1">
      <x:formula>E5="Unverified lead"</x:formula>
    </x:cfRule>
    <x:cfRule type="expression" dxfId="7" priority="2">
      <x:formula>LEFT(E5,8)="Excluded"</x:formula>
    </x:cfRule>
  </x:conditionalFormatting>
  <x:pageMargins left="0.7" right="0.7" top="0.75" bottom="0.75" header="0.3" footer="0.3"/>
  <x:tableParts count="1">
    <x:tablePart xmlns:r="http://schemas.openxmlformats.org/officeDocument/2006/relationships" r:id="Rd0e1a17709bb45cd"/>
  </x:tableParts>
</x:worksheet>
</file>

<file path=xl/worksheets/sheet6.xml><?xml version="1.0" encoding="utf-8"?>
<x:worksheet xmlns:x="http://schemas.openxmlformats.org/spreadsheetml/2006/main">
  <x:sheetFormatPr defaultRowHeight="15"/>
  <x:cols>
    <x:col min="1" max="1" width="27" hidden="0" customWidth="1"/>
    <x:col min="2" max="2" width="4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4" customHeight="1">
      <x:c r="A1" s="110" t="str">
        <x:v>Promotion-Dossier Narrative and Claim Hygiene</x:v>
      </x:c>
      <x:c r="B1" s="110"/>
      <x:c r="C1" s="110"/>
      <x:c r="D1" s="110"/>
      <x:c r="E1" s="110"/>
      <x:c r="F1" s="110"/>
      <x:c r="G1" s="110"/>
      <x:c r="H1" s="110"/>
    </x:row>
    <x:row r="2" ht="28" customHeight="1">
      <x:c r="A2" s="14" t="str">
        <x:v>Draft language is calibrated to the verified evidence. Policy use, independent editorial coverage, institutional translation, and syndication are deliberately described separately.</x:v>
      </x:c>
      <x:c r="B2" s="14"/>
      <x:c r="C2" s="14"/>
      <x:c r="D2" s="14"/>
      <x:c r="E2" s="14"/>
      <x:c r="F2" s="14"/>
      <x:c r="G2" s="14"/>
      <x:c r="H2" s="14"/>
    </x:row>
    <x:row r="3">
      <x:c r="A3" s="111"/>
      <x:c r="B3" s="111"/>
      <x:c r="C3" s="111"/>
      <x:c r="D3" s="111"/>
      <x:c r="E3" s="111"/>
      <x:c r="F3" s="111"/>
      <x:c r="G3" s="111"/>
      <x:c r="H3" s="111"/>
    </x:row>
    <x:row r="4">
      <x:c r="A4" s="115" t="str">
        <x:v>RECOMMENDED DOSSIER PARAGRAPH</x:v>
      </x:c>
      <x:c r="B4" s="115"/>
      <x:c r="C4" s="115"/>
      <x:c r="D4" s="115"/>
      <x:c r="E4" s="115"/>
      <x:c r="F4" s="115"/>
      <x:c r="G4" s="115"/>
      <x:c r="H4" s="115"/>
    </x:row>
    <x:row r="5">
      <x:c r="A5" s="144" t="str">
        <x:v>My research has informed public policy and practitioner debate in securities regulation, data privacy, disclosure, and human capital. Work on MiFID II research unbundling has been cited in four U.S. and European regulatory documents, including a 2022 SEC staff report and ESMA analyses and advice spanning 2020–2025. Research on GDPR received independent coverage in Accounting Today, was translated by the University of East Anglia, syndicated across four science-news outlets, and was later used in a privacy-industry publication. Research on IPOs and employee satisfaction was featured by UT Dallas, translated for CLS Blue Sky Blog, and independently discussed by TheCorporateCounsel.net and National Affairs.</x:v>
      </x:c>
      <x:c r="B5" s="144"/>
      <x:c r="C5" s="144"/>
      <x:c r="D5" s="144"/>
      <x:c r="E5" s="144"/>
      <x:c r="F5" s="144"/>
      <x:c r="G5" s="144"/>
      <x:c r="H5" s="144"/>
    </x:row>
    <x:row r="6">
      <x:c r="A6" s="144"/>
      <x:c r="B6" s="144"/>
      <x:c r="C6" s="144"/>
      <x:c r="D6" s="144"/>
      <x:c r="E6" s="144"/>
      <x:c r="F6" s="144"/>
      <x:c r="G6" s="144"/>
      <x:c r="H6" s="144"/>
    </x:row>
    <x:row r="7">
      <x:c r="A7" s="144"/>
      <x:c r="B7" s="144"/>
      <x:c r="C7" s="144"/>
      <x:c r="D7" s="144"/>
      <x:c r="E7" s="144"/>
      <x:c r="F7" s="144"/>
      <x:c r="G7" s="144"/>
      <x:c r="H7" s="144"/>
    </x:row>
    <x:row r="8">
      <x:c r="A8" s="144"/>
      <x:c r="B8" s="144"/>
      <x:c r="C8" s="144"/>
      <x:c r="D8" s="144"/>
      <x:c r="E8" s="144"/>
      <x:c r="F8" s="144"/>
      <x:c r="G8" s="144"/>
      <x:c r="H8" s="144"/>
    </x:row>
    <x:row r="9">
      <x:c r="A9" s="111"/>
      <x:c r="B9" s="111"/>
      <x:c r="C9" s="111"/>
      <x:c r="D9" s="111"/>
      <x:c r="E9" s="111"/>
      <x:c r="F9" s="111"/>
      <x:c r="G9" s="111"/>
      <x:c r="H9" s="111"/>
    </x:row>
    <x:row r="10">
      <x:c r="A10" s="115" t="str">
        <x:v>SHORT CV / ANNUAL-REVIEW VERSION</x:v>
      </x:c>
      <x:c r="B10" s="115"/>
      <x:c r="C10" s="115"/>
      <x:c r="D10" s="115"/>
      <x:c r="E10" s="115"/>
      <x:c r="F10" s="115"/>
      <x:c r="G10" s="115"/>
      <x:c r="H10" s="115"/>
    </x:row>
    <x:row r="11">
      <x:c r="A11" s="150" t="str">
        <x:v>Selected public impact: four SEC/ESMA policy citations to the MiFID II paper; independent Accounting Today coverage and privacy-industry use of the GDPR paper; and a multi-outlet practitioner discussion of the IPO–employee-satisfaction paper.</x:v>
      </x:c>
      <x:c r="B11" s="150"/>
      <x:c r="C11" s="150"/>
      <x:c r="D11" s="150"/>
      <x:c r="E11" s="150"/>
      <x:c r="F11" s="150"/>
      <x:c r="G11" s="150"/>
      <x:c r="H11" s="150"/>
    </x:row>
    <x:row r="12">
      <x:c r="A12" s="150"/>
      <x:c r="B12" s="150"/>
      <x:c r="C12" s="150"/>
      <x:c r="D12" s="150"/>
      <x:c r="E12" s="150"/>
      <x:c r="F12" s="150"/>
      <x:c r="G12" s="150"/>
      <x:c r="H12" s="150"/>
    </x:row>
    <x:row r="13">
      <x:c r="A13" s="150"/>
      <x:c r="B13" s="150"/>
      <x:c r="C13" s="150"/>
      <x:c r="D13" s="150"/>
      <x:c r="E13" s="150"/>
      <x:c r="F13" s="150"/>
      <x:c r="G13" s="150"/>
      <x:c r="H13" s="150"/>
    </x:row>
    <x:row r="14">
      <x:c r="A14" s="111"/>
      <x:c r="B14" s="111"/>
      <x:c r="C14" s="111"/>
      <x:c r="D14" s="111"/>
      <x:c r="E14" s="111"/>
      <x:c r="F14" s="111"/>
      <x:c r="G14" s="111"/>
      <x:c r="H14" s="111"/>
    </x:row>
    <x:row r="15">
      <x:c r="A15" s="115" t="str">
        <x:v>RECOMMENDED SECTION STRUCTURE</x:v>
      </x:c>
      <x:c r="B15" s="115"/>
      <x:c r="C15" s="115"/>
      <x:c r="D15" s="115"/>
      <x:c r="E15" s="115"/>
      <x:c r="F15" s="115"/>
      <x:c r="G15" s="115"/>
      <x:c r="H15" s="115"/>
    </x:row>
    <x:row r="16" ht="30" customHeight="1">
      <x:c r="A16" s="24" t="str">
        <x:v>Section</x:v>
      </x:c>
      <x:c r="B16" s="24" t="str">
        <x:v>What belongs there</x:v>
      </x:c>
      <x:c r="C16" s="111"/>
      <x:c r="D16" s="111"/>
      <x:c r="E16" s="111"/>
      <x:c r="F16" s="111"/>
      <x:c r="G16" s="111"/>
      <x:c r="H16" s="111"/>
    </x:row>
    <x:row r="17" ht="54" customHeight="1">
      <x:c r="A17" s="38" t="str">
        <x:v>Policy and Regulatory Impact</x:v>
      </x:c>
      <x:c r="B17" s="38" t="str">
        <x:v>SEC and ESMA documents only.</x:v>
      </x:c>
      <x:c r="C17" s="111"/>
      <x:c r="D17" s="111"/>
      <x:c r="E17" s="111"/>
      <x:c r="F17" s="111"/>
      <x:c r="G17" s="111"/>
      <x:c r="H17" s="111"/>
    </x:row>
    <x:row r="18" ht="54" customHeight="1">
      <x:c r="A18" s="38" t="str">
        <x:v>Selected Media and Practitioner Coverage</x:v>
      </x:c>
      <x:c r="B18" s="38" t="str">
        <x:v>Accounting Today, TheCorporateCounsel.net, National Affairs, CLS Blue Sky, Passion for Privacy, Contabilidade Financeira, and carefully labeled lower-authority items.</x:v>
      </x:c>
      <x:c r="C18" s="111"/>
      <x:c r="D18" s="111"/>
      <x:c r="E18" s="111"/>
      <x:c r="F18" s="111"/>
      <x:c r="G18" s="111"/>
      <x:c r="H18" s="111"/>
    </x:row>
    <x:row r="19" ht="54" customHeight="1">
      <x:c r="A19" s="38" t="str">
        <x:v>Research Translation and Dissemination</x:v>
      </x:c>
      <x:c r="B19" s="38" t="str">
        <x:v>UTD/UEA/Kenan stories, syndications, publisher posts, coauthor pages, repositories, and social promotion.</x:v>
      </x:c>
      <x:c r="C19" s="111"/>
      <x:c r="D19" s="111"/>
      <x:c r="E19" s="111"/>
      <x:c r="F19" s="111"/>
      <x:c r="G19" s="111"/>
      <x:c r="H19" s="111"/>
    </x:row>
    <x:row r="20">
      <x:c r="A20" s="111"/>
      <x:c r="B20" s="111"/>
      <x:c r="C20" s="111"/>
      <x:c r="D20" s="111"/>
      <x:c r="E20" s="111"/>
      <x:c r="F20" s="111"/>
      <x:c r="G20" s="111"/>
      <x:c r="H20" s="111"/>
    </x:row>
    <x:row r="21">
      <x:c r="A21" s="111"/>
      <x:c r="B21" s="111"/>
      <x:c r="C21" s="111"/>
      <x:c r="D21" s="111"/>
      <x:c r="E21" s="111"/>
      <x:c r="F21" s="111"/>
      <x:c r="G21" s="111"/>
      <x:c r="H21" s="111"/>
    </x:row>
    <x:row r="22">
      <x:c r="A22" s="115" t="str">
        <x:v>DO NOT OVERCLAIM</x:v>
      </x:c>
      <x:c r="B22" s="115"/>
      <x:c r="C22" s="115"/>
      <x:c r="D22" s="115"/>
      <x:c r="E22" s="115"/>
      <x:c r="F22" s="115"/>
      <x:c r="G22" s="115"/>
      <x:c r="H22" s="115"/>
    </x:row>
    <x:row r="23">
      <x:c r="A23" s="158" t="str">
        <x:v>• Do not say “22 independent media stories.” The defensible count is 22 verified placements representing 17 distinct narratives.
• Do not count the four GDPR press-release republications as four independent stories.
• Do not call SEC/ESMA citations “media coverage”; call them policy or regulatory impact.
• Do not claim ELSBlog coverage until the underlying 2022/2023 links or archived copies are recovered.
• Do not foreground the TOITOI explainer because parts of its methodology summary appear unreliable.</x:v>
      </x:c>
      <x:c r="B23" s="158"/>
      <x:c r="C23" s="158"/>
      <x:c r="D23" s="158"/>
      <x:c r="E23" s="158"/>
      <x:c r="F23" s="158"/>
      <x:c r="G23" s="158"/>
      <x:c r="H23" s="158"/>
    </x:row>
    <x:row r="24">
      <x:c r="A24" s="158"/>
      <x:c r="B24" s="158"/>
      <x:c r="C24" s="158"/>
      <x:c r="D24" s="158"/>
      <x:c r="E24" s="158"/>
      <x:c r="F24" s="158"/>
      <x:c r="G24" s="158"/>
      <x:c r="H24" s="158"/>
    </x:row>
    <x:row r="25">
      <x:c r="A25" s="158"/>
      <x:c r="B25" s="158"/>
      <x:c r="C25" s="158"/>
      <x:c r="D25" s="158"/>
      <x:c r="E25" s="158"/>
      <x:c r="F25" s="158"/>
      <x:c r="G25" s="158"/>
      <x:c r="H25" s="158"/>
    </x:row>
    <x:row r="26">
      <x:c r="A26" s="158"/>
      <x:c r="B26" s="158"/>
      <x:c r="C26" s="158"/>
      <x:c r="D26" s="158"/>
      <x:c r="E26" s="158"/>
      <x:c r="F26" s="158"/>
      <x:c r="G26" s="158"/>
      <x:c r="H26" s="158"/>
    </x:row>
    <x:row r="27">
      <x:c r="A27" s="158"/>
      <x:c r="B27" s="158"/>
      <x:c r="C27" s="158"/>
      <x:c r="D27" s="158"/>
      <x:c r="E27" s="158"/>
      <x:c r="F27" s="158"/>
      <x:c r="G27" s="158"/>
      <x:c r="H27" s="158"/>
    </x:row>
    <x:row r="28">
      <x:c r="A28" s="111"/>
      <x:c r="B28" s="111"/>
      <x:c r="C28" s="111"/>
      <x:c r="D28" s="111"/>
      <x:c r="E28" s="111"/>
      <x:c r="F28" s="111"/>
      <x:c r="G28" s="111"/>
      <x:c r="H28" s="111"/>
    </x:row>
    <x:row r="29">
      <x:c r="A29" s="111"/>
      <x:c r="B29" s="111"/>
      <x:c r="C29" s="111"/>
      <x:c r="D29" s="111"/>
      <x:c r="E29" s="111"/>
      <x:c r="F29" s="111"/>
      <x:c r="G29" s="111"/>
      <x:c r="H29" s="111"/>
    </x:row>
    <x:row r="30">
      <x:c r="A30" s="115" t="str">
        <x:v>NEXT SEARCH / RECORDKEEPING ACTIONS</x:v>
      </x:c>
      <x:c r="B30" s="115"/>
      <x:c r="C30" s="115"/>
      <x:c r="D30" s="115"/>
      <x:c r="E30" s="115"/>
      <x:c r="F30" s="115"/>
      <x:c r="G30" s="115"/>
      <x:c r="H30" s="115"/>
    </x:row>
    <x:row r="31">
      <x:c r="A31" s="164" t="str">
        <x:v>1. Ask Tuhin Harit and Sunil Parupati for the exact ELSBlog and any separate CLS Blue Sky links or PDFs.
2. Run a second-stage archival search in Factiva, Nexis, ProQuest Newsstream, Altmetric, Dimensions, and Overton; those can reveal paywalled, dead, or policy-document mentions missed by the open web.
3. Search your email for press-office outreach, journalist requests, Google Alerts, publisher publicity, and coauthor forwarding chains.
4. Add a permanent “Public Impact” page to your website and record each item with date, outlet, category, URL, PDF/screenshot, and whether it is independent or syndicated.
5. Re-run this audit quarterly and after every publication acceptance.</x:v>
      </x:c>
      <x:c r="B31" s="164"/>
      <x:c r="C31" s="164"/>
      <x:c r="D31" s="164"/>
      <x:c r="E31" s="164"/>
      <x:c r="F31" s="164"/>
      <x:c r="G31" s="164"/>
      <x:c r="H31" s="164"/>
    </x:row>
    <x:row r="32">
      <x:c r="A32" s="164"/>
      <x:c r="B32" s="164"/>
      <x:c r="C32" s="164"/>
      <x:c r="D32" s="164"/>
      <x:c r="E32" s="164"/>
      <x:c r="F32" s="164"/>
      <x:c r="G32" s="164"/>
      <x:c r="H32" s="164"/>
    </x:row>
    <x:row r="33">
      <x:c r="A33" s="164"/>
      <x:c r="B33" s="164"/>
      <x:c r="C33" s="164"/>
      <x:c r="D33" s="164"/>
      <x:c r="E33" s="164"/>
      <x:c r="F33" s="164"/>
      <x:c r="G33" s="164"/>
      <x:c r="H33" s="164"/>
    </x:row>
    <x:row r="34">
      <x:c r="A34" s="164"/>
      <x:c r="B34" s="164"/>
      <x:c r="C34" s="164"/>
      <x:c r="D34" s="164"/>
      <x:c r="E34" s="164"/>
      <x:c r="F34" s="164"/>
      <x:c r="G34" s="164"/>
      <x:c r="H34" s="164"/>
    </x:row>
    <x:row r="35">
      <x:c r="A35" s="164"/>
      <x:c r="B35" s="164"/>
      <x:c r="C35" s="164"/>
      <x:c r="D35" s="164"/>
      <x:c r="E35" s="164"/>
      <x:c r="F35" s="164"/>
      <x:c r="G35" s="164"/>
      <x:c r="H35" s="164"/>
    </x:row>
    <x:row r="36">
      <x:c r="A36" s="164"/>
      <x:c r="B36" s="164"/>
      <x:c r="C36" s="164"/>
      <x:c r="D36" s="164"/>
      <x:c r="E36" s="164"/>
      <x:c r="F36" s="164"/>
      <x:c r="G36" s="164"/>
      <x:c r="H36" s="164"/>
    </x:row>
    <x:row r="37">
      <x:c r="A37" s="111"/>
      <x:c r="B37" s="111"/>
      <x:c r="C37" s="111"/>
      <x:c r="D37" s="111"/>
      <x:c r="E37" s="111"/>
      <x:c r="F37" s="111"/>
      <x:c r="G37" s="111"/>
      <x:c r="H37" s="111"/>
    </x:row>
    <x:row r="38">
      <x:c r="A38" s="111"/>
      <x:c r="B38" s="111"/>
      <x:c r="C38" s="111"/>
      <x:c r="D38" s="111"/>
      <x:c r="E38" s="111"/>
      <x:c r="F38" s="111"/>
      <x:c r="G38" s="111"/>
      <x:c r="H38" s="111"/>
    </x:row>
    <x:row r="39">
      <x:c r="A39" s="111"/>
      <x:c r="B39" s="111"/>
      <x:c r="C39" s="111"/>
      <x:c r="D39" s="111"/>
      <x:c r="E39" s="111"/>
      <x:c r="F39" s="111"/>
      <x:c r="G39" s="111"/>
      <x:c r="H39" s="111"/>
    </x:row>
    <x:row r="40">
      <x:c r="A40" s="111"/>
      <x:c r="B40" s="111"/>
      <x:c r="C40" s="111"/>
      <x:c r="D40" s="111"/>
      <x:c r="E40" s="111"/>
      <x:c r="F40" s="111"/>
      <x:c r="G40" s="111"/>
      <x:c r="H40" s="111"/>
    </x:row>
  </x:sheetData>
  <x:mergeCells>
    <x:mergeCell ref="A1:H1"/>
    <x:mergeCell ref="A2:H2"/>
    <x:mergeCell ref="A4:H4"/>
    <x:mergeCell ref="A10:H10"/>
    <x:mergeCell ref="A15:H15"/>
    <x:mergeCell ref="A22:H22"/>
    <x:mergeCell ref="A30:H30"/>
    <x:mergeCell ref="A5:H8"/>
    <x:mergeCell ref="A11:H13"/>
    <x:mergeCell ref="A23:H27"/>
    <x:mergeCell ref="A31:H36"/>
  </x:mergeCells>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100" hidden="0" customWidth="1"/>
  </x:cols>
  <x:sheetData>
    <x:row r="1" ht="34" customHeight="1">
      <x:c r="A1" s="5" t="str">
        <x:v>Audit Method, Definitions, and Limitations</x:v>
      </x:c>
      <x:c r="B1" s="5"/>
      <x:c r="C1" s="5"/>
      <x:c r="D1" s="5"/>
      <x:c r="E1" s="5"/>
      <x:c r="F1" s="5"/>
    </x:row>
    <x:row r="2" ht="28" customHeight="1">
      <x:c r="A2" s="14" t="str">
        <x:v>Designed for promotion-dossier defensibility: every counted item has a direct public URL and a verification note.</x:v>
      </x:c>
      <x:c r="B2" s="14"/>
      <x:c r="C2" s="14"/>
      <x:c r="D2" s="14"/>
      <x:c r="E2" s="14"/>
      <x:c r="F2" s="14"/>
    </x:row>
    <x:row r="4" ht="30" customHeight="1">
      <x:c r="A4" s="24" t="str">
        <x:v>Field</x:v>
      </x:c>
      <x:c r="B4" s="24" t="str">
        <x:v>Audit specification</x:v>
      </x:c>
    </x:row>
    <x:row r="5" ht="52" customHeight="1">
      <x:c r="A5" s="38" t="str">
        <x:v>Corpus</x:v>
      </x:c>
      <x:c r="B5" s="38" t="str">
        <x:v>All 20 papers listed on Jedson Pinto's live CV as of August 16, 2026.</x:v>
      </x:c>
    </x:row>
    <x:row r="6" ht="52" customHeight="1">
      <x:c r="A6" s="38" t="str">
        <x:v>Search passes</x:v>
      </x:c>
      <x:c r="B6" s="38" t="str">
        <x:v>Exact titles; old/final title variants; distinctive findings phrases; author and coauthor combinations; coauthor websites; journal/publisher pages; institutional news; practitioner outlets; social/dissemination pages; and regulator/domain-specific searches.</x:v>
      </x:c>
    </x:row>
    <x:row r="7" ht="52" customHeight="1">
      <x:c r="A7" s="38" t="str">
        <x:v>Policy / comment-letter domains</x:v>
      </x:c>
      <x:c r="B7" s="38" t="str">
        <x:v>SEC, ESMA, European Commission, FASB, PCAOB, IFRS, IOSCO, OECD, World Bank, Regulations.gov, and related official pages.</x:v>
      </x:c>
    </x:row>
    <x:row r="8" ht="52" customHeight="1">
      <x:c r="A8" s="38" t="str">
        <x:v>Verification threshold</x:v>
      </x:c>
      <x:c r="B8" s="38" t="str">
        <x:v>Counted only when a direct page/PDF was inspected or a direct search result established the item, date, outlet, and paper connection. A coauthor's unsupported 'media' label remains a lead.</x:v>
      </x:c>
    </x:row>
    <x:row r="9" ht="52" customHeight="1">
      <x:c r="A9" s="38" t="str">
        <x:v>Duplicate rule</x:v>
      </x:c>
      <x:c r="B9" s="38" t="str">
        <x:v>A placement is every verified outlet page. A distinct narrative is the originating editorial/research story. Syndicated copies receive Unique Narrative = 0.</x:v>
      </x:c>
    </x:row>
    <x:row r="10" ht="52" customHeight="1">
      <x:c r="A10" s="38" t="str">
        <x:v>Category A</x:v>
      </x:c>
      <x:c r="B10" s="38" t="str">
        <x:v>Independent editorial/media: journalist- or editor-produced coverage.</x:v>
      </x:c>
    </x:row>
    <x:row r="11" ht="52" customHeight="1">
      <x:c r="A11" s="38" t="str">
        <x:v>Category B</x:v>
      </x:c>
      <x:c r="B11" s="38" t="str">
        <x:v>Practitioner/policy-facing editorial: legal, accounting, privacy, governance, or research-roundup treatment; may be author-written or independently curated.</x:v>
      </x:c>
    </x:row>
    <x:row r="12" ht="52" customHeight="1">
      <x:c r="A12" s="38" t="str">
        <x:v>Category C</x:v>
      </x:c>
      <x:c r="B12" s="38" t="str">
        <x:v>Institutional press/research translation: university, school, or research-institute story.</x:v>
      </x:c>
    </x:row>
    <x:row r="13" ht="52" customHeight="1">
      <x:c r="A13" s="38" t="str">
        <x:v>Category D</x:v>
      </x:c>
      <x:c r="B13" s="38" t="str">
        <x:v>Policy/regulatory citation: official government, regulator, or formal advisory document.</x:v>
      </x:c>
    </x:row>
    <x:row r="14" ht="52" customHeight="1">
      <x:c r="A14" s="38" t="str">
        <x:v>Category E</x:v>
      </x:c>
      <x:c r="B14" s="38" t="str">
        <x:v>Syndication/republication/mirror: duplicate reach, not a separate editorial narrative.</x:v>
      </x:c>
    </x:row>
    <x:row r="15" ht="52" customHeight="1">
      <x:c r="A15" s="38" t="str">
        <x:v>Excluded from media total</x:v>
      </x:c>
      <x:c r="B15" s="38" t="str">
        <x:v>Academic citations, metadata, repositories, conference listings, self-posts, journal social posts, SEO auto-links, generic topic articles, and indirect references.</x:v>
      </x:c>
    </x:row>
    <x:row r="16" ht="52" customHeight="1">
      <x:c r="A16" s="38" t="str">
        <x:v>Coverage limitation</x:v>
      </x:c>
      <x:c r="B16" s="38" t="str">
        <x:v>This is a deep public-web audit, not a legal guarantee of completeness. Search indexing, paywalls, deleted pages, robots restrictions, social-platform visibility, and title changes can hide items.</x:v>
      </x:c>
    </x:row>
    <x:row r="17" ht="52" customHeight="1">
      <x:c r="A17" s="38" t="str">
        <x:v>Best next databases</x:v>
      </x:c>
      <x:c r="B17" s="38" t="str">
        <x:v>Factiva, LexisNexis/Nexis, ProQuest Newsstream, Altmetric, Dimensions, Overton, Meltwater/Cision, and the Internet Archive.</x:v>
      </x:c>
    </x:row>
    <x:row r="18" ht="52" customHeight="1">
      <x:c r="A18" s="38" t="str">
        <x:v>Access date</x:v>
      </x:c>
      <x:c r="B18" s="38" t="str">
        <x:v>2026-08-16</x:v>
      </x:c>
    </x:row>
  </x:sheetData>
  <x:mergeCells>
    <x:mergeCell ref="A1:F1"/>
    <x:mergeCell ref="A2:F2"/>
  </x:mergeCells>
  <x:pageMargins left="0.7" right="0.7" top="0.75" bottom="0.75" header="0.3" footer="0.3"/>
  <x:tableParts count="1">
    <x:tablePart xmlns:r="http://schemas.openxmlformats.org/officeDocument/2006/relationships" r:id="Rba97bc0351054148"/>
  </x:tableParts>
</x:worksheet>
</file>